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I4SH\4-DataFrames_ready\"/>
    </mc:Choice>
  </mc:AlternateContent>
  <xr:revisionPtr revIDLastSave="0" documentId="13_ncr:1_{72B4CC9D-3B54-4E97-AACE-6FBB00A85D00}" xr6:coauthVersionLast="47" xr6:coauthVersionMax="47" xr10:uidLastSave="{00000000-0000-0000-0000-000000000000}"/>
  <bookViews>
    <workbookView xWindow="38280" yWindow="1320" windowWidth="29040" windowHeight="17520" xr2:uid="{BEF2E00A-38A1-498E-A3FC-273F25E88673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0" i="1" l="1"/>
  <c r="H201" i="1"/>
  <c r="H202" i="1"/>
  <c r="H19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79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63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50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33" i="1"/>
  <c r="H128" i="1"/>
  <c r="H129" i="1"/>
  <c r="H130" i="1"/>
  <c r="H131" i="1"/>
  <c r="H132" i="1"/>
  <c r="H127" i="1"/>
  <c r="H116" i="1"/>
  <c r="H117" i="1"/>
  <c r="H115" i="1"/>
  <c r="H109" i="1"/>
  <c r="H110" i="1"/>
  <c r="H111" i="1"/>
  <c r="H112" i="1"/>
  <c r="H113" i="1"/>
  <c r="H114" i="1"/>
  <c r="H108" i="1"/>
  <c r="H99" i="1"/>
  <c r="H100" i="1"/>
  <c r="H101" i="1"/>
  <c r="H102" i="1"/>
  <c r="H103" i="1"/>
  <c r="H104" i="1"/>
  <c r="H105" i="1"/>
  <c r="H106" i="1"/>
  <c r="H107" i="1"/>
  <c r="H98" i="1"/>
  <c r="H97" i="1"/>
  <c r="H96" i="1"/>
  <c r="H75" i="1"/>
  <c r="H76" i="1"/>
  <c r="H77" i="1"/>
  <c r="H78" i="1"/>
  <c r="H79" i="1"/>
  <c r="H80" i="1"/>
  <c r="H81" i="1"/>
  <c r="H82" i="1"/>
  <c r="H83" i="1"/>
  <c r="H84" i="1"/>
  <c r="H85" i="1"/>
  <c r="H74" i="1"/>
  <c r="H65" i="1"/>
  <c r="H64" i="1"/>
  <c r="H60" i="1"/>
  <c r="H61" i="1"/>
  <c r="H62" i="1"/>
  <c r="H63" i="1"/>
  <c r="H59" i="1"/>
  <c r="H58" i="1"/>
  <c r="H44" i="1"/>
  <c r="H43" i="1"/>
  <c r="H32" i="1"/>
  <c r="H33" i="1"/>
  <c r="H34" i="1"/>
  <c r="H35" i="1"/>
  <c r="H31" i="1"/>
  <c r="H26" i="1"/>
  <c r="H27" i="1"/>
  <c r="H28" i="1"/>
  <c r="H29" i="1"/>
  <c r="H30" i="1"/>
  <c r="H25" i="1"/>
  <c r="H18" i="1"/>
  <c r="H19" i="1"/>
  <c r="H20" i="1"/>
  <c r="H21" i="1"/>
  <c r="H22" i="1"/>
  <c r="H23" i="1"/>
  <c r="H24" i="1"/>
  <c r="H1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</calcChain>
</file>

<file path=xl/sharedStrings.xml><?xml version="1.0" encoding="utf-8"?>
<sst xmlns="http://schemas.openxmlformats.org/spreadsheetml/2006/main" count="1836" uniqueCount="116">
  <si>
    <t>horizon</t>
  </si>
  <si>
    <t>observer</t>
  </si>
  <si>
    <t>Sample_ID</t>
  </si>
  <si>
    <t>Specimen</t>
  </si>
  <si>
    <t>identification</t>
  </si>
  <si>
    <t>gsmf_taxa</t>
  </si>
  <si>
    <t>moisture</t>
  </si>
  <si>
    <t>latitude</t>
  </si>
  <si>
    <t>longitude</t>
  </si>
  <si>
    <t>date</t>
  </si>
  <si>
    <t>Field_ID</t>
  </si>
  <si>
    <t>B5</t>
  </si>
  <si>
    <t>C</t>
  </si>
  <si>
    <t>Liisa</t>
  </si>
  <si>
    <t>surface</t>
  </si>
  <si>
    <t>monolith</t>
  </si>
  <si>
    <t>True bug</t>
  </si>
  <si>
    <t>Earthworm</t>
  </si>
  <si>
    <t>Beetle/Carabidae</t>
  </si>
  <si>
    <t>Beetle</t>
  </si>
  <si>
    <t>Insect larva</t>
  </si>
  <si>
    <t>Spider</t>
  </si>
  <si>
    <t>hemiptera</t>
  </si>
  <si>
    <t>earthworm</t>
  </si>
  <si>
    <t>beetle</t>
  </si>
  <si>
    <t>coleoptera</t>
  </si>
  <si>
    <t>unidentified_larvae</t>
  </si>
  <si>
    <t>araneae</t>
  </si>
  <si>
    <t>60.820352</t>
  </si>
  <si>
    <t>23.493931</t>
  </si>
  <si>
    <t>B</t>
  </si>
  <si>
    <t>Ida</t>
  </si>
  <si>
    <t>A</t>
  </si>
  <si>
    <t>Riikka</t>
  </si>
  <si>
    <t>vegetation</t>
  </si>
  <si>
    <t>crop</t>
  </si>
  <si>
    <t>Springtail</t>
  </si>
  <si>
    <t>Beetle/Staphylinid</t>
  </si>
  <si>
    <t>collembola</t>
  </si>
  <si>
    <t>60.820545</t>
  </si>
  <si>
    <t>23.493442</t>
  </si>
  <si>
    <t>60.820699</t>
  </si>
  <si>
    <t>23.493197</t>
  </si>
  <si>
    <t>B7</t>
  </si>
  <si>
    <t>Beetle/Staphylinidae</t>
  </si>
  <si>
    <t>rain break</t>
  </si>
  <si>
    <t>comment</t>
  </si>
  <si>
    <t>60.818391</t>
  </si>
  <si>
    <t>23.489505</t>
  </si>
  <si>
    <t>23.489150</t>
  </si>
  <si>
    <t>60.818419</t>
  </si>
  <si>
    <t>60.81857</t>
  </si>
  <si>
    <t>23.488730</t>
  </si>
  <si>
    <t>B9</t>
  </si>
  <si>
    <t>Fly larva</t>
  </si>
  <si>
    <t>diptera_larvae</t>
  </si>
  <si>
    <t>60.812200</t>
  </si>
  <si>
    <t>60.812161</t>
  </si>
  <si>
    <t>23.474038</t>
  </si>
  <si>
    <t>23.474493</t>
  </si>
  <si>
    <t>60.812168</t>
  </si>
  <si>
    <t>23.473702</t>
  </si>
  <si>
    <t>R20</t>
  </si>
  <si>
    <t>Beetle/Chrysomelidae/Phyllotreta</t>
  </si>
  <si>
    <t>60.811895</t>
  </si>
  <si>
    <t>23.475411</t>
  </si>
  <si>
    <t>R15</t>
  </si>
  <si>
    <t>60.801635</t>
  </si>
  <si>
    <t>23.469256</t>
  </si>
  <si>
    <t>60.8011748</t>
  </si>
  <si>
    <t>R17</t>
  </si>
  <si>
    <t>Beetle/Cantharidae</t>
  </si>
  <si>
    <t>60.805534</t>
  </si>
  <si>
    <t>23.467563</t>
  </si>
  <si>
    <t>Prostigmata</t>
  </si>
  <si>
    <t>acari</t>
  </si>
  <si>
    <t>60.805568</t>
  </si>
  <si>
    <t>23.467704</t>
  </si>
  <si>
    <t>60.805634</t>
  </si>
  <si>
    <t>23.467912</t>
  </si>
  <si>
    <t>B14</t>
  </si>
  <si>
    <t>Enchytraeidae</t>
  </si>
  <si>
    <t>60.804366</t>
  </si>
  <si>
    <t>23.44606</t>
  </si>
  <si>
    <t>60.804515</t>
  </si>
  <si>
    <t>23.445936</t>
  </si>
  <si>
    <t>60.804629</t>
  </si>
  <si>
    <t>23.445908</t>
  </si>
  <si>
    <t>B19</t>
  </si>
  <si>
    <t>Beetle/Bembidion</t>
  </si>
  <si>
    <t>NA</t>
  </si>
  <si>
    <t>60.799294</t>
  </si>
  <si>
    <t>23.459243</t>
  </si>
  <si>
    <t>60.799415</t>
  </si>
  <si>
    <t>23.458982</t>
  </si>
  <si>
    <t>B20</t>
  </si>
  <si>
    <t>Collembola</t>
  </si>
  <si>
    <t>Earthworm egg</t>
  </si>
  <si>
    <t>Mesostigmata</t>
  </si>
  <si>
    <t>60.699702</t>
  </si>
  <si>
    <t>23.446191</t>
  </si>
  <si>
    <t>60.799702</t>
  </si>
  <si>
    <t>60.799818</t>
  </si>
  <si>
    <t>23.446184</t>
  </si>
  <si>
    <t>B22</t>
  </si>
  <si>
    <t>True bug nymph</t>
  </si>
  <si>
    <t>Insect cocoon</t>
  </si>
  <si>
    <t>Snail</t>
  </si>
  <si>
    <t>Wood lice</t>
  </si>
  <si>
    <t>Earthworm, egg</t>
  </si>
  <si>
    <t>Enchytraiedae</t>
  </si>
  <si>
    <t>unidentified_pupae</t>
  </si>
  <si>
    <t>gastropoda</t>
  </si>
  <si>
    <t>isopoda</t>
  </si>
  <si>
    <t>60.79820</t>
  </si>
  <si>
    <t>23.437547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</si>
</sst>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rgb="FF000000"/>
      <name val="Aptos Narrow"/>
    </font>
    <font>
      <sz val="8"/>
      <color theme="1"/>
      <name val="Calibri"/>
      <family val="2"/>
      <scheme val="minor"/>
    </font>
    <font>
      <sz val="8"/>
      <color theme="1"/>
      <name val="Aptos Narrow"/>
    </font>
    <font>
      <sz val="8"/>
      <name val="Aptos Narrow"/>
    </font>
    <font>
      <sz val="8"/>
      <color rgb="FF000000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/>
    <xf numFmtId="14" fontId="0" fillId="0" borderId="0" xfId="0" applyNumberFormat="1"/>
    <xf numFmtId="0" fontId="0" fillId="2" borderId="0" xfId="0" applyFill="1"/>
    <xf numFmtId="0" fontId="0" fillId="2" borderId="0" xfId="0" applyFont="1" applyFill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A8C5-2DD0-4D8B-8CB4-071010202834}">
  <dimension ref="A1:M202"/>
  <sheetViews>
    <sheetView tabSelected="1" topLeftCell="A173" zoomScale="130" zoomScaleNormal="130" workbookViewId="0">
      <selection activeCell="K162" sqref="K162:L202"/>
    </sheetView>
  </sheetViews>
  <sheetFormatPr baseColWidth="10" defaultRowHeight="15"/>
  <cols>
    <col min="6" max="6" width="23.5703125" customWidth="1"/>
  </cols>
  <sheetData>
    <row r="1" spans="1:13" s="5" customFormat="1">
      <c r="A1" s="5" t="s">
        <v>10</v>
      </c>
      <c r="B1" s="6" t="s">
        <v>1</v>
      </c>
      <c r="C1" s="5" t="s">
        <v>2</v>
      </c>
      <c r="D1" s="5" t="s">
        <v>3</v>
      </c>
      <c r="E1" s="5" t="s">
        <v>0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34</v>
      </c>
      <c r="M1" s="5" t="s">
        <v>46</v>
      </c>
    </row>
    <row r="2" spans="1:13">
      <c r="A2" t="s">
        <v>11</v>
      </c>
      <c r="B2" t="s">
        <v>13</v>
      </c>
      <c r="C2" t="s">
        <v>12</v>
      </c>
      <c r="D2">
        <v>1</v>
      </c>
      <c r="E2" t="s">
        <v>14</v>
      </c>
      <c r="F2" s="1" t="s">
        <v>16</v>
      </c>
      <c r="G2" t="s">
        <v>22</v>
      </c>
      <c r="H2">
        <f>(25.9+28.3)/2</f>
        <v>27.1</v>
      </c>
      <c r="I2" s="3" t="s">
        <v>28</v>
      </c>
      <c r="J2" s="3" t="s">
        <v>29</v>
      </c>
      <c r="K2" s="4">
        <v>45811</v>
      </c>
      <c r="L2" t="s">
        <v>35</v>
      </c>
    </row>
    <row r="3" spans="1:13">
      <c r="A3" t="s">
        <v>11</v>
      </c>
      <c r="B3" t="s">
        <v>13</v>
      </c>
      <c r="C3" t="s">
        <v>12</v>
      </c>
      <c r="D3">
        <v>2</v>
      </c>
      <c r="E3" t="s">
        <v>15</v>
      </c>
      <c r="F3" s="1" t="s">
        <v>17</v>
      </c>
      <c r="G3" t="s">
        <v>23</v>
      </c>
      <c r="H3">
        <f t="shared" ref="H3:H16" si="0">(25.9+28.3)/2</f>
        <v>27.1</v>
      </c>
      <c r="I3" s="3" t="s">
        <v>28</v>
      </c>
      <c r="J3" s="3" t="s">
        <v>29</v>
      </c>
      <c r="K3" s="4">
        <v>45811</v>
      </c>
      <c r="L3" t="s">
        <v>35</v>
      </c>
    </row>
    <row r="4" spans="1:13">
      <c r="A4" t="s">
        <v>11</v>
      </c>
      <c r="B4" t="s">
        <v>13</v>
      </c>
      <c r="C4" t="s">
        <v>12</v>
      </c>
      <c r="D4">
        <v>3</v>
      </c>
      <c r="E4" t="s">
        <v>15</v>
      </c>
      <c r="F4" s="1" t="s">
        <v>18</v>
      </c>
      <c r="G4" t="s">
        <v>25</v>
      </c>
      <c r="H4">
        <f t="shared" si="0"/>
        <v>27.1</v>
      </c>
      <c r="I4" s="3" t="s">
        <v>28</v>
      </c>
      <c r="J4" s="3" t="s">
        <v>29</v>
      </c>
      <c r="K4" s="4">
        <v>45811</v>
      </c>
      <c r="L4" t="s">
        <v>35</v>
      </c>
    </row>
    <row r="5" spans="1:13">
      <c r="A5" t="s">
        <v>11</v>
      </c>
      <c r="B5" t="s">
        <v>13</v>
      </c>
      <c r="C5" t="s">
        <v>12</v>
      </c>
      <c r="D5">
        <v>4</v>
      </c>
      <c r="E5" t="s">
        <v>15</v>
      </c>
      <c r="F5" s="1" t="s">
        <v>19</v>
      </c>
      <c r="G5" t="s">
        <v>25</v>
      </c>
      <c r="H5">
        <f t="shared" si="0"/>
        <v>27.1</v>
      </c>
      <c r="I5" s="3" t="s">
        <v>28</v>
      </c>
      <c r="J5" s="3" t="s">
        <v>29</v>
      </c>
      <c r="K5" s="4">
        <v>45811</v>
      </c>
      <c r="L5" t="s">
        <v>35</v>
      </c>
    </row>
    <row r="6" spans="1:13">
      <c r="A6" t="s">
        <v>11</v>
      </c>
      <c r="B6" t="s">
        <v>13</v>
      </c>
      <c r="C6" t="s">
        <v>12</v>
      </c>
      <c r="D6">
        <v>5</v>
      </c>
      <c r="E6" t="s">
        <v>15</v>
      </c>
      <c r="F6" s="1" t="s">
        <v>17</v>
      </c>
      <c r="G6" s="1" t="s">
        <v>17</v>
      </c>
      <c r="H6">
        <f t="shared" si="0"/>
        <v>27.1</v>
      </c>
      <c r="I6" s="3" t="s">
        <v>28</v>
      </c>
      <c r="J6" s="3" t="s">
        <v>29</v>
      </c>
      <c r="K6" s="4">
        <v>45811</v>
      </c>
      <c r="L6" t="s">
        <v>35</v>
      </c>
    </row>
    <row r="7" spans="1:13">
      <c r="A7" t="s">
        <v>11</v>
      </c>
      <c r="B7" t="s">
        <v>13</v>
      </c>
      <c r="C7" t="s">
        <v>12</v>
      </c>
      <c r="D7">
        <v>6</v>
      </c>
      <c r="E7" t="s">
        <v>15</v>
      </c>
      <c r="F7" s="1" t="s">
        <v>17</v>
      </c>
      <c r="G7" s="1" t="s">
        <v>17</v>
      </c>
      <c r="H7">
        <f t="shared" si="0"/>
        <v>27.1</v>
      </c>
      <c r="I7" s="3" t="s">
        <v>28</v>
      </c>
      <c r="J7" s="3" t="s">
        <v>29</v>
      </c>
      <c r="K7" s="4">
        <v>45811</v>
      </c>
      <c r="L7" t="s">
        <v>35</v>
      </c>
    </row>
    <row r="8" spans="1:13">
      <c r="A8" t="s">
        <v>11</v>
      </c>
      <c r="B8" t="s">
        <v>13</v>
      </c>
      <c r="C8" t="s">
        <v>12</v>
      </c>
      <c r="D8">
        <v>7</v>
      </c>
      <c r="E8" t="s">
        <v>15</v>
      </c>
      <c r="F8" s="1" t="s">
        <v>17</v>
      </c>
      <c r="G8" s="1" t="s">
        <v>17</v>
      </c>
      <c r="H8">
        <f t="shared" si="0"/>
        <v>27.1</v>
      </c>
      <c r="I8" s="3" t="s">
        <v>28</v>
      </c>
      <c r="J8" s="3" t="s">
        <v>29</v>
      </c>
      <c r="K8" s="4">
        <v>45811</v>
      </c>
      <c r="L8" t="s">
        <v>35</v>
      </c>
    </row>
    <row r="9" spans="1:13">
      <c r="A9" t="s">
        <v>11</v>
      </c>
      <c r="B9" t="s">
        <v>13</v>
      </c>
      <c r="C9" t="s">
        <v>12</v>
      </c>
      <c r="D9">
        <v>8</v>
      </c>
      <c r="E9" t="s">
        <v>15</v>
      </c>
      <c r="F9" s="1" t="s">
        <v>17</v>
      </c>
      <c r="G9" s="1" t="s">
        <v>17</v>
      </c>
      <c r="H9">
        <f t="shared" si="0"/>
        <v>27.1</v>
      </c>
      <c r="I9" s="3" t="s">
        <v>28</v>
      </c>
      <c r="J9" s="3" t="s">
        <v>29</v>
      </c>
      <c r="K9" s="4">
        <v>45811</v>
      </c>
      <c r="L9" t="s">
        <v>35</v>
      </c>
    </row>
    <row r="10" spans="1:13">
      <c r="A10" t="s">
        <v>11</v>
      </c>
      <c r="B10" t="s">
        <v>13</v>
      </c>
      <c r="C10" t="s">
        <v>12</v>
      </c>
      <c r="D10">
        <v>9</v>
      </c>
      <c r="E10" t="s">
        <v>15</v>
      </c>
      <c r="F10" s="1" t="s">
        <v>17</v>
      </c>
      <c r="G10" s="1" t="s">
        <v>17</v>
      </c>
      <c r="H10">
        <f t="shared" si="0"/>
        <v>27.1</v>
      </c>
      <c r="I10" s="3" t="s">
        <v>28</v>
      </c>
      <c r="J10" s="3" t="s">
        <v>29</v>
      </c>
      <c r="K10" s="4">
        <v>45811</v>
      </c>
      <c r="L10" t="s">
        <v>35</v>
      </c>
    </row>
    <row r="11" spans="1:13">
      <c r="A11" t="s">
        <v>11</v>
      </c>
      <c r="B11" t="s">
        <v>13</v>
      </c>
      <c r="C11" t="s">
        <v>12</v>
      </c>
      <c r="D11">
        <v>10</v>
      </c>
      <c r="E11" t="s">
        <v>15</v>
      </c>
      <c r="F11" s="1" t="s">
        <v>20</v>
      </c>
      <c r="G11" s="2" t="s">
        <v>26</v>
      </c>
      <c r="H11">
        <f t="shared" si="0"/>
        <v>27.1</v>
      </c>
      <c r="I11" s="3" t="s">
        <v>28</v>
      </c>
      <c r="J11" s="3" t="s">
        <v>29</v>
      </c>
      <c r="K11" s="4">
        <v>45811</v>
      </c>
      <c r="L11" t="s">
        <v>35</v>
      </c>
    </row>
    <row r="12" spans="1:13">
      <c r="A12" t="s">
        <v>11</v>
      </c>
      <c r="B12" t="s">
        <v>13</v>
      </c>
      <c r="C12" t="s">
        <v>12</v>
      </c>
      <c r="D12">
        <v>11</v>
      </c>
      <c r="E12" t="s">
        <v>15</v>
      </c>
      <c r="F12" s="1" t="s">
        <v>17</v>
      </c>
      <c r="G12" s="1" t="s">
        <v>17</v>
      </c>
      <c r="H12">
        <f t="shared" si="0"/>
        <v>27.1</v>
      </c>
      <c r="I12" s="3" t="s">
        <v>28</v>
      </c>
      <c r="J12" s="3" t="s">
        <v>29</v>
      </c>
      <c r="K12" s="4">
        <v>45811</v>
      </c>
      <c r="L12" t="s">
        <v>35</v>
      </c>
    </row>
    <row r="13" spans="1:13">
      <c r="A13" t="s">
        <v>11</v>
      </c>
      <c r="B13" t="s">
        <v>13</v>
      </c>
      <c r="C13" t="s">
        <v>12</v>
      </c>
      <c r="D13">
        <v>12</v>
      </c>
      <c r="E13" t="s">
        <v>15</v>
      </c>
      <c r="F13" s="1" t="s">
        <v>17</v>
      </c>
      <c r="G13" s="1" t="s">
        <v>17</v>
      </c>
      <c r="H13">
        <f t="shared" si="0"/>
        <v>27.1</v>
      </c>
      <c r="I13" s="3" t="s">
        <v>28</v>
      </c>
      <c r="J13" s="3" t="s">
        <v>29</v>
      </c>
      <c r="K13" s="4">
        <v>45811</v>
      </c>
      <c r="L13" t="s">
        <v>35</v>
      </c>
    </row>
    <row r="14" spans="1:13">
      <c r="A14" t="s">
        <v>11</v>
      </c>
      <c r="B14" t="s">
        <v>13</v>
      </c>
      <c r="C14" t="s">
        <v>12</v>
      </c>
      <c r="D14">
        <v>13</v>
      </c>
      <c r="E14" t="s">
        <v>15</v>
      </c>
      <c r="F14" s="1" t="s">
        <v>21</v>
      </c>
      <c r="G14" s="1" t="s">
        <v>27</v>
      </c>
      <c r="H14">
        <f t="shared" si="0"/>
        <v>27.1</v>
      </c>
      <c r="I14" s="3" t="s">
        <v>28</v>
      </c>
      <c r="J14" s="3" t="s">
        <v>29</v>
      </c>
      <c r="K14" s="4">
        <v>45811</v>
      </c>
      <c r="L14" t="s">
        <v>35</v>
      </c>
    </row>
    <row r="15" spans="1:13">
      <c r="A15" t="s">
        <v>11</v>
      </c>
      <c r="B15" t="s">
        <v>13</v>
      </c>
      <c r="C15" t="s">
        <v>12</v>
      </c>
      <c r="D15">
        <v>14</v>
      </c>
      <c r="E15" t="s">
        <v>15</v>
      </c>
      <c r="F15" s="1" t="s">
        <v>18</v>
      </c>
      <c r="G15" s="2" t="s">
        <v>25</v>
      </c>
      <c r="H15">
        <f t="shared" si="0"/>
        <v>27.1</v>
      </c>
      <c r="I15" s="3" t="s">
        <v>28</v>
      </c>
      <c r="J15" s="3" t="s">
        <v>29</v>
      </c>
      <c r="K15" s="4">
        <v>45811</v>
      </c>
      <c r="L15" t="s">
        <v>35</v>
      </c>
    </row>
    <row r="16" spans="1:13">
      <c r="A16" t="s">
        <v>11</v>
      </c>
      <c r="B16" t="s">
        <v>13</v>
      </c>
      <c r="C16" t="s">
        <v>12</v>
      </c>
      <c r="D16">
        <v>15</v>
      </c>
      <c r="E16" t="s">
        <v>15</v>
      </c>
      <c r="F16" s="1" t="s">
        <v>18</v>
      </c>
      <c r="G16" s="2" t="s">
        <v>25</v>
      </c>
      <c r="H16">
        <f t="shared" si="0"/>
        <v>27.1</v>
      </c>
      <c r="I16" s="3" t="s">
        <v>28</v>
      </c>
      <c r="J16" s="3" t="s">
        <v>29</v>
      </c>
      <c r="K16" s="4">
        <v>45811</v>
      </c>
      <c r="L16" t="s">
        <v>35</v>
      </c>
    </row>
    <row r="17" spans="1:13">
      <c r="A17" t="s">
        <v>11</v>
      </c>
      <c r="B17" t="s">
        <v>31</v>
      </c>
      <c r="C17" t="s">
        <v>30</v>
      </c>
      <c r="D17">
        <v>1</v>
      </c>
      <c r="E17" t="s">
        <v>14</v>
      </c>
      <c r="F17" s="1" t="s">
        <v>19</v>
      </c>
      <c r="G17" s="2" t="s">
        <v>25</v>
      </c>
      <c r="H17">
        <f>(31.2+28.2)/2</f>
        <v>29.7</v>
      </c>
      <c r="I17" s="3" t="s">
        <v>39</v>
      </c>
      <c r="J17" s="3" t="s">
        <v>40</v>
      </c>
      <c r="K17" s="4">
        <v>45811</v>
      </c>
      <c r="L17" t="s">
        <v>35</v>
      </c>
    </row>
    <row r="18" spans="1:13">
      <c r="A18" t="s">
        <v>11</v>
      </c>
      <c r="B18" t="s">
        <v>31</v>
      </c>
      <c r="C18" t="s">
        <v>30</v>
      </c>
      <c r="D18">
        <v>2</v>
      </c>
      <c r="E18" t="s">
        <v>14</v>
      </c>
      <c r="F18" s="1" t="s">
        <v>19</v>
      </c>
      <c r="G18" s="2" t="s">
        <v>25</v>
      </c>
      <c r="H18">
        <f t="shared" ref="H18:H24" si="1">(31.2+28.2)/2</f>
        <v>29.7</v>
      </c>
      <c r="I18" s="3" t="s">
        <v>39</v>
      </c>
      <c r="J18" s="3" t="s">
        <v>40</v>
      </c>
      <c r="K18" s="4">
        <v>45811</v>
      </c>
      <c r="L18" t="s">
        <v>35</v>
      </c>
    </row>
    <row r="19" spans="1:13">
      <c r="A19" t="s">
        <v>11</v>
      </c>
      <c r="B19" t="s">
        <v>31</v>
      </c>
      <c r="C19" t="s">
        <v>30</v>
      </c>
      <c r="D19">
        <v>3</v>
      </c>
      <c r="E19" t="s">
        <v>15</v>
      </c>
      <c r="F19" s="1" t="s">
        <v>19</v>
      </c>
      <c r="G19" s="2" t="s">
        <v>25</v>
      </c>
      <c r="H19">
        <f t="shared" si="1"/>
        <v>29.7</v>
      </c>
      <c r="I19" s="3" t="s">
        <v>39</v>
      </c>
      <c r="J19" s="3" t="s">
        <v>40</v>
      </c>
      <c r="K19" s="4">
        <v>45811</v>
      </c>
      <c r="L19" t="s">
        <v>35</v>
      </c>
    </row>
    <row r="20" spans="1:13">
      <c r="A20" t="s">
        <v>11</v>
      </c>
      <c r="B20" t="s">
        <v>31</v>
      </c>
      <c r="C20" t="s">
        <v>30</v>
      </c>
      <c r="D20">
        <v>4</v>
      </c>
      <c r="E20" t="s">
        <v>15</v>
      </c>
      <c r="F20" s="1" t="s">
        <v>17</v>
      </c>
      <c r="G20" s="2" t="s">
        <v>23</v>
      </c>
      <c r="H20">
        <f t="shared" si="1"/>
        <v>29.7</v>
      </c>
      <c r="I20" s="3" t="s">
        <v>39</v>
      </c>
      <c r="J20" s="3" t="s">
        <v>40</v>
      </c>
      <c r="K20" s="4">
        <v>45811</v>
      </c>
      <c r="L20" t="s">
        <v>35</v>
      </c>
    </row>
    <row r="21" spans="1:13">
      <c r="A21" t="s">
        <v>11</v>
      </c>
      <c r="B21" t="s">
        <v>31</v>
      </c>
      <c r="C21" t="s">
        <v>30</v>
      </c>
      <c r="D21">
        <v>5</v>
      </c>
      <c r="E21" t="s">
        <v>15</v>
      </c>
      <c r="F21" s="1" t="s">
        <v>19</v>
      </c>
      <c r="G21" s="2" t="s">
        <v>25</v>
      </c>
      <c r="H21">
        <f t="shared" si="1"/>
        <v>29.7</v>
      </c>
      <c r="I21" s="3" t="s">
        <v>39</v>
      </c>
      <c r="J21" s="3" t="s">
        <v>40</v>
      </c>
      <c r="K21" s="4">
        <v>45811</v>
      </c>
      <c r="L21" t="s">
        <v>35</v>
      </c>
    </row>
    <row r="22" spans="1:13">
      <c r="A22" t="s">
        <v>11</v>
      </c>
      <c r="B22" t="s">
        <v>31</v>
      </c>
      <c r="C22" t="s">
        <v>30</v>
      </c>
      <c r="D22">
        <v>6</v>
      </c>
      <c r="E22" t="s">
        <v>15</v>
      </c>
      <c r="F22" s="1" t="s">
        <v>17</v>
      </c>
      <c r="G22" s="2" t="s">
        <v>23</v>
      </c>
      <c r="H22">
        <f t="shared" si="1"/>
        <v>29.7</v>
      </c>
      <c r="I22" s="3" t="s">
        <v>39</v>
      </c>
      <c r="J22" s="3" t="s">
        <v>40</v>
      </c>
      <c r="K22" s="4">
        <v>45811</v>
      </c>
      <c r="L22" t="s">
        <v>35</v>
      </c>
    </row>
    <row r="23" spans="1:13">
      <c r="A23" t="s">
        <v>11</v>
      </c>
      <c r="B23" t="s">
        <v>31</v>
      </c>
      <c r="C23" t="s">
        <v>30</v>
      </c>
      <c r="D23">
        <v>7</v>
      </c>
      <c r="E23" t="s">
        <v>15</v>
      </c>
      <c r="F23" s="1" t="s">
        <v>19</v>
      </c>
      <c r="G23" s="2" t="s">
        <v>25</v>
      </c>
      <c r="H23">
        <f t="shared" si="1"/>
        <v>29.7</v>
      </c>
      <c r="I23" s="3" t="s">
        <v>39</v>
      </c>
      <c r="J23" s="3" t="s">
        <v>40</v>
      </c>
      <c r="K23" s="4">
        <v>45811</v>
      </c>
      <c r="L23" t="s">
        <v>35</v>
      </c>
    </row>
    <row r="24" spans="1:13">
      <c r="A24" t="s">
        <v>11</v>
      </c>
      <c r="B24" t="s">
        <v>31</v>
      </c>
      <c r="C24" t="s">
        <v>30</v>
      </c>
      <c r="D24">
        <v>8</v>
      </c>
      <c r="E24" t="s">
        <v>15</v>
      </c>
      <c r="F24" s="1" t="s">
        <v>36</v>
      </c>
      <c r="G24" s="2" t="s">
        <v>38</v>
      </c>
      <c r="H24">
        <f t="shared" si="1"/>
        <v>29.7</v>
      </c>
      <c r="I24" s="3" t="s">
        <v>39</v>
      </c>
      <c r="J24" s="3" t="s">
        <v>40</v>
      </c>
      <c r="K24" s="4">
        <v>45811</v>
      </c>
      <c r="L24" t="s">
        <v>35</v>
      </c>
    </row>
    <row r="25" spans="1:13">
      <c r="A25" t="s">
        <v>11</v>
      </c>
      <c r="B25" t="s">
        <v>33</v>
      </c>
      <c r="C25" t="s">
        <v>32</v>
      </c>
      <c r="D25">
        <v>1</v>
      </c>
      <c r="E25" t="s">
        <v>14</v>
      </c>
      <c r="F25" s="1" t="s">
        <v>17</v>
      </c>
      <c r="G25" s="2" t="s">
        <v>23</v>
      </c>
      <c r="H25">
        <f>(33.9+35.4)/2</f>
        <v>34.65</v>
      </c>
      <c r="I25" s="3" t="s">
        <v>41</v>
      </c>
      <c r="J25" s="3" t="s">
        <v>42</v>
      </c>
      <c r="K25" s="4">
        <v>45811</v>
      </c>
      <c r="L25" t="s">
        <v>35</v>
      </c>
    </row>
    <row r="26" spans="1:13">
      <c r="A26" t="s">
        <v>11</v>
      </c>
      <c r="B26" t="s">
        <v>33</v>
      </c>
      <c r="C26" t="s">
        <v>32</v>
      </c>
      <c r="D26">
        <v>2</v>
      </c>
      <c r="E26" t="s">
        <v>14</v>
      </c>
      <c r="F26" s="1" t="s">
        <v>21</v>
      </c>
      <c r="G26" s="2" t="s">
        <v>27</v>
      </c>
      <c r="H26">
        <f t="shared" ref="H26:H30" si="2">(33.9+35.4)/2</f>
        <v>34.65</v>
      </c>
      <c r="I26" s="3" t="s">
        <v>41</v>
      </c>
      <c r="J26" s="3" t="s">
        <v>42</v>
      </c>
      <c r="K26" s="4">
        <v>45811</v>
      </c>
      <c r="L26" t="s">
        <v>35</v>
      </c>
    </row>
    <row r="27" spans="1:13">
      <c r="A27" t="s">
        <v>11</v>
      </c>
      <c r="B27" t="s">
        <v>33</v>
      </c>
      <c r="C27" t="s">
        <v>32</v>
      </c>
      <c r="D27">
        <v>3</v>
      </c>
      <c r="E27" t="s">
        <v>14</v>
      </c>
      <c r="F27" s="1" t="s">
        <v>21</v>
      </c>
      <c r="G27" s="2" t="s">
        <v>27</v>
      </c>
      <c r="H27">
        <f t="shared" si="2"/>
        <v>34.65</v>
      </c>
      <c r="I27" s="3" t="s">
        <v>41</v>
      </c>
      <c r="J27" s="3" t="s">
        <v>42</v>
      </c>
      <c r="K27" s="4">
        <v>45811</v>
      </c>
      <c r="L27" t="s">
        <v>35</v>
      </c>
    </row>
    <row r="28" spans="1:13">
      <c r="A28" t="s">
        <v>11</v>
      </c>
      <c r="B28" t="s">
        <v>33</v>
      </c>
      <c r="C28" t="s">
        <v>32</v>
      </c>
      <c r="D28">
        <v>4</v>
      </c>
      <c r="E28" t="s">
        <v>15</v>
      </c>
      <c r="F28" s="1" t="s">
        <v>37</v>
      </c>
      <c r="G28" s="2" t="s">
        <v>25</v>
      </c>
      <c r="H28">
        <f t="shared" si="2"/>
        <v>34.65</v>
      </c>
      <c r="I28" s="3" t="s">
        <v>41</v>
      </c>
      <c r="J28" s="3" t="s">
        <v>42</v>
      </c>
      <c r="K28" s="4">
        <v>45811</v>
      </c>
      <c r="L28" t="s">
        <v>35</v>
      </c>
    </row>
    <row r="29" spans="1:13">
      <c r="A29" t="s">
        <v>11</v>
      </c>
      <c r="B29" t="s">
        <v>33</v>
      </c>
      <c r="C29" t="s">
        <v>32</v>
      </c>
      <c r="D29">
        <v>5</v>
      </c>
      <c r="E29" t="s">
        <v>15</v>
      </c>
      <c r="F29" s="1" t="s">
        <v>17</v>
      </c>
      <c r="G29" s="2" t="s">
        <v>23</v>
      </c>
      <c r="H29">
        <f t="shared" si="2"/>
        <v>34.65</v>
      </c>
      <c r="I29" s="3" t="s">
        <v>41</v>
      </c>
      <c r="J29" s="3" t="s">
        <v>42</v>
      </c>
      <c r="K29" s="4">
        <v>45811</v>
      </c>
      <c r="L29" t="s">
        <v>35</v>
      </c>
    </row>
    <row r="30" spans="1:13">
      <c r="A30" t="s">
        <v>11</v>
      </c>
      <c r="B30" t="s">
        <v>33</v>
      </c>
      <c r="C30" t="s">
        <v>32</v>
      </c>
      <c r="D30">
        <v>6</v>
      </c>
      <c r="E30" t="s">
        <v>15</v>
      </c>
      <c r="F30" s="1" t="s">
        <v>17</v>
      </c>
      <c r="G30" s="2" t="s">
        <v>23</v>
      </c>
      <c r="H30">
        <f t="shared" si="2"/>
        <v>34.65</v>
      </c>
      <c r="I30" s="3" t="s">
        <v>41</v>
      </c>
      <c r="J30" s="3" t="s">
        <v>42</v>
      </c>
      <c r="K30" s="4">
        <v>45811</v>
      </c>
      <c r="L30" t="s">
        <v>35</v>
      </c>
    </row>
    <row r="31" spans="1:13">
      <c r="A31" t="s">
        <v>43</v>
      </c>
      <c r="B31" t="s">
        <v>13</v>
      </c>
      <c r="C31" t="s">
        <v>12</v>
      </c>
      <c r="D31">
        <v>1</v>
      </c>
      <c r="E31" t="s">
        <v>15</v>
      </c>
      <c r="F31" s="7" t="s">
        <v>17</v>
      </c>
      <c r="G31" s="2" t="s">
        <v>23</v>
      </c>
      <c r="H31">
        <f>(25+29.3)/2</f>
        <v>27.15</v>
      </c>
      <c r="I31" s="3" t="s">
        <v>47</v>
      </c>
      <c r="J31" t="s">
        <v>48</v>
      </c>
      <c r="K31" s="4">
        <v>45811</v>
      </c>
      <c r="L31" t="s">
        <v>35</v>
      </c>
      <c r="M31" t="s">
        <v>45</v>
      </c>
    </row>
    <row r="32" spans="1:13">
      <c r="A32" t="s">
        <v>43</v>
      </c>
      <c r="B32" t="s">
        <v>13</v>
      </c>
      <c r="C32" t="s">
        <v>12</v>
      </c>
      <c r="D32">
        <v>2</v>
      </c>
      <c r="E32" t="s">
        <v>15</v>
      </c>
      <c r="F32" s="7" t="s">
        <v>17</v>
      </c>
      <c r="G32" s="2" t="s">
        <v>23</v>
      </c>
      <c r="H32">
        <f t="shared" ref="H32:H35" si="3">(25+29.3)/2</f>
        <v>27.15</v>
      </c>
      <c r="I32" s="3" t="s">
        <v>47</v>
      </c>
      <c r="J32" t="s">
        <v>48</v>
      </c>
      <c r="K32" s="4">
        <v>45811</v>
      </c>
      <c r="L32" t="s">
        <v>35</v>
      </c>
      <c r="M32" t="s">
        <v>45</v>
      </c>
    </row>
    <row r="33" spans="1:13">
      <c r="A33" t="s">
        <v>43</v>
      </c>
      <c r="B33" t="s">
        <v>13</v>
      </c>
      <c r="C33" t="s">
        <v>12</v>
      </c>
      <c r="D33">
        <v>9</v>
      </c>
      <c r="E33" t="s">
        <v>15</v>
      </c>
      <c r="F33" s="7" t="s">
        <v>18</v>
      </c>
      <c r="G33" s="2" t="s">
        <v>25</v>
      </c>
      <c r="H33">
        <f t="shared" si="3"/>
        <v>27.15</v>
      </c>
      <c r="I33" s="3" t="s">
        <v>47</v>
      </c>
      <c r="J33" t="s">
        <v>48</v>
      </c>
      <c r="K33" s="4">
        <v>45811</v>
      </c>
      <c r="L33" t="s">
        <v>35</v>
      </c>
      <c r="M33" t="s">
        <v>45</v>
      </c>
    </row>
    <row r="34" spans="1:13">
      <c r="A34" t="s">
        <v>43</v>
      </c>
      <c r="B34" t="s">
        <v>13</v>
      </c>
      <c r="C34" t="s">
        <v>12</v>
      </c>
      <c r="D34">
        <v>10</v>
      </c>
      <c r="E34" t="s">
        <v>15</v>
      </c>
      <c r="F34" s="7" t="s">
        <v>23</v>
      </c>
      <c r="G34" s="2" t="s">
        <v>23</v>
      </c>
      <c r="H34">
        <f t="shared" si="3"/>
        <v>27.15</v>
      </c>
      <c r="I34" s="3" t="s">
        <v>47</v>
      </c>
      <c r="J34" t="s">
        <v>48</v>
      </c>
      <c r="K34" s="4">
        <v>45811</v>
      </c>
      <c r="L34" t="s">
        <v>35</v>
      </c>
      <c r="M34" t="s">
        <v>45</v>
      </c>
    </row>
    <row r="35" spans="1:13">
      <c r="A35" t="s">
        <v>43</v>
      </c>
      <c r="B35" t="s">
        <v>13</v>
      </c>
      <c r="C35" t="s">
        <v>12</v>
      </c>
      <c r="D35">
        <v>13</v>
      </c>
      <c r="E35" t="s">
        <v>15</v>
      </c>
      <c r="F35" s="7" t="s">
        <v>20</v>
      </c>
      <c r="G35" s="2" t="s">
        <v>26</v>
      </c>
      <c r="H35">
        <f t="shared" si="3"/>
        <v>27.15</v>
      </c>
      <c r="I35" s="3" t="s">
        <v>47</v>
      </c>
      <c r="J35" t="s">
        <v>48</v>
      </c>
      <c r="K35" s="4">
        <v>45811</v>
      </c>
      <c r="L35" t="s">
        <v>35</v>
      </c>
      <c r="M35" t="s">
        <v>45</v>
      </c>
    </row>
    <row r="36" spans="1:13">
      <c r="A36" t="s">
        <v>43</v>
      </c>
      <c r="B36" t="s">
        <v>31</v>
      </c>
      <c r="C36" t="s">
        <v>30</v>
      </c>
      <c r="D36">
        <v>1</v>
      </c>
      <c r="E36" t="s">
        <v>14</v>
      </c>
      <c r="F36" s="1" t="s">
        <v>19</v>
      </c>
      <c r="G36" s="2" t="s">
        <v>25</v>
      </c>
      <c r="H36">
        <v>29.6</v>
      </c>
      <c r="I36" s="3" t="s">
        <v>50</v>
      </c>
      <c r="J36" s="3" t="s">
        <v>49</v>
      </c>
      <c r="K36" s="4">
        <v>45811</v>
      </c>
      <c r="L36" t="s">
        <v>35</v>
      </c>
      <c r="M36" t="s">
        <v>45</v>
      </c>
    </row>
    <row r="37" spans="1:13">
      <c r="A37" t="s">
        <v>43</v>
      </c>
      <c r="B37" t="s">
        <v>31</v>
      </c>
      <c r="C37" t="s">
        <v>30</v>
      </c>
      <c r="D37">
        <v>18</v>
      </c>
      <c r="E37" t="s">
        <v>15</v>
      </c>
      <c r="F37" s="1" t="s">
        <v>17</v>
      </c>
      <c r="G37" s="2" t="s">
        <v>23</v>
      </c>
      <c r="H37">
        <v>29.6</v>
      </c>
      <c r="I37" s="3" t="s">
        <v>50</v>
      </c>
      <c r="J37" s="3" t="s">
        <v>49</v>
      </c>
      <c r="K37" s="4">
        <v>45811</v>
      </c>
      <c r="L37" t="s">
        <v>35</v>
      </c>
      <c r="M37" t="s">
        <v>45</v>
      </c>
    </row>
    <row r="38" spans="1:13">
      <c r="A38" t="s">
        <v>43</v>
      </c>
      <c r="B38" t="s">
        <v>31</v>
      </c>
      <c r="C38" t="s">
        <v>30</v>
      </c>
      <c r="D38">
        <v>19</v>
      </c>
      <c r="E38" t="s">
        <v>15</v>
      </c>
      <c r="F38" s="1" t="s">
        <v>19</v>
      </c>
      <c r="G38" s="2" t="s">
        <v>25</v>
      </c>
      <c r="H38">
        <v>29.6</v>
      </c>
      <c r="I38" s="3" t="s">
        <v>50</v>
      </c>
      <c r="J38" s="3" t="s">
        <v>49</v>
      </c>
      <c r="K38" s="4">
        <v>45811</v>
      </c>
      <c r="L38" t="s">
        <v>35</v>
      </c>
      <c r="M38" t="s">
        <v>45</v>
      </c>
    </row>
    <row r="39" spans="1:13">
      <c r="A39" t="s">
        <v>43</v>
      </c>
      <c r="B39" t="s">
        <v>31</v>
      </c>
      <c r="C39" t="s">
        <v>30</v>
      </c>
      <c r="D39">
        <v>22</v>
      </c>
      <c r="E39" t="s">
        <v>15</v>
      </c>
      <c r="F39" s="8" t="s">
        <v>24</v>
      </c>
      <c r="G39" s="2" t="s">
        <v>25</v>
      </c>
      <c r="H39">
        <v>29.6</v>
      </c>
      <c r="I39" s="3" t="s">
        <v>50</v>
      </c>
      <c r="J39" s="3" t="s">
        <v>49</v>
      </c>
      <c r="K39" s="4">
        <v>45811</v>
      </c>
      <c r="L39" t="s">
        <v>35</v>
      </c>
      <c r="M39" t="s">
        <v>45</v>
      </c>
    </row>
    <row r="40" spans="1:13">
      <c r="A40" t="s">
        <v>43</v>
      </c>
      <c r="B40" t="s">
        <v>33</v>
      </c>
      <c r="C40" t="s">
        <v>32</v>
      </c>
      <c r="D40">
        <v>1</v>
      </c>
      <c r="E40" t="s">
        <v>14</v>
      </c>
      <c r="F40" s="7" t="s">
        <v>19</v>
      </c>
      <c r="G40" s="2" t="s">
        <v>25</v>
      </c>
      <c r="H40">
        <v>25.1</v>
      </c>
      <c r="I40" s="3" t="s">
        <v>51</v>
      </c>
      <c r="J40" t="s">
        <v>52</v>
      </c>
      <c r="K40" s="4">
        <v>45811</v>
      </c>
      <c r="L40" t="s">
        <v>35</v>
      </c>
      <c r="M40" t="s">
        <v>45</v>
      </c>
    </row>
    <row r="41" spans="1:13">
      <c r="A41" t="s">
        <v>43</v>
      </c>
      <c r="B41" t="s">
        <v>33</v>
      </c>
      <c r="C41" t="s">
        <v>32</v>
      </c>
      <c r="D41">
        <v>2</v>
      </c>
      <c r="E41" t="s">
        <v>15</v>
      </c>
      <c r="F41" s="7" t="s">
        <v>44</v>
      </c>
      <c r="G41" s="2" t="s">
        <v>25</v>
      </c>
      <c r="H41">
        <v>25.1</v>
      </c>
      <c r="I41" s="3" t="s">
        <v>51</v>
      </c>
      <c r="J41" t="s">
        <v>52</v>
      </c>
      <c r="K41" s="4">
        <v>45811</v>
      </c>
      <c r="L41" t="s">
        <v>35</v>
      </c>
      <c r="M41" t="s">
        <v>45</v>
      </c>
    </row>
    <row r="42" spans="1:13">
      <c r="A42" t="s">
        <v>43</v>
      </c>
      <c r="B42" t="s">
        <v>33</v>
      </c>
      <c r="C42" t="s">
        <v>32</v>
      </c>
      <c r="D42">
        <v>3</v>
      </c>
      <c r="E42" t="s">
        <v>15</v>
      </c>
      <c r="F42" s="7" t="s">
        <v>17</v>
      </c>
      <c r="G42" s="2" t="s">
        <v>23</v>
      </c>
      <c r="H42">
        <v>25.1</v>
      </c>
      <c r="I42" s="3" t="s">
        <v>51</v>
      </c>
      <c r="J42" t="s">
        <v>52</v>
      </c>
      <c r="K42" s="4">
        <v>45811</v>
      </c>
      <c r="L42" t="s">
        <v>35</v>
      </c>
      <c r="M42" t="s">
        <v>45</v>
      </c>
    </row>
    <row r="43" spans="1:13">
      <c r="A43" t="s">
        <v>53</v>
      </c>
      <c r="B43" t="s">
        <v>13</v>
      </c>
      <c r="C43" t="s">
        <v>12</v>
      </c>
      <c r="D43">
        <v>1</v>
      </c>
      <c r="E43" t="s">
        <v>14</v>
      </c>
      <c r="F43" s="1" t="s">
        <v>19</v>
      </c>
      <c r="G43" s="2" t="s">
        <v>25</v>
      </c>
      <c r="H43">
        <f>(36.1+33.8)/2</f>
        <v>34.950000000000003</v>
      </c>
      <c r="I43" s="3" t="s">
        <v>56</v>
      </c>
      <c r="J43" s="3" t="s">
        <v>61</v>
      </c>
      <c r="K43" s="4">
        <v>45811</v>
      </c>
      <c r="L43" t="s">
        <v>35</v>
      </c>
      <c r="M43" t="s">
        <v>45</v>
      </c>
    </row>
    <row r="44" spans="1:13">
      <c r="A44" t="s">
        <v>53</v>
      </c>
      <c r="B44" t="s">
        <v>13</v>
      </c>
      <c r="C44" t="s">
        <v>12</v>
      </c>
      <c r="D44">
        <v>3</v>
      </c>
      <c r="E44" t="s">
        <v>15</v>
      </c>
      <c r="F44" s="1" t="s">
        <v>17</v>
      </c>
      <c r="G44" s="2" t="s">
        <v>23</v>
      </c>
      <c r="H44">
        <f>(36.1+33.8)/2</f>
        <v>34.950000000000003</v>
      </c>
      <c r="I44" s="3" t="s">
        <v>56</v>
      </c>
      <c r="J44" s="3" t="s">
        <v>61</v>
      </c>
      <c r="K44" s="4">
        <v>45811</v>
      </c>
      <c r="L44" t="s">
        <v>35</v>
      </c>
    </row>
    <row r="45" spans="1:13">
      <c r="A45" t="s">
        <v>53</v>
      </c>
      <c r="B45" t="s">
        <v>31</v>
      </c>
      <c r="C45" t="s">
        <v>30</v>
      </c>
      <c r="D45">
        <v>1</v>
      </c>
      <c r="E45" t="s">
        <v>14</v>
      </c>
      <c r="F45" s="8" t="s">
        <v>18</v>
      </c>
      <c r="G45" s="2" t="s">
        <v>25</v>
      </c>
      <c r="H45">
        <v>36.5</v>
      </c>
      <c r="I45" s="3" t="s">
        <v>57</v>
      </c>
      <c r="J45" s="3" t="s">
        <v>58</v>
      </c>
      <c r="K45" s="4">
        <v>45811</v>
      </c>
      <c r="L45" t="s">
        <v>35</v>
      </c>
    </row>
    <row r="46" spans="1:13">
      <c r="A46" t="s">
        <v>53</v>
      </c>
      <c r="B46" t="s">
        <v>31</v>
      </c>
      <c r="C46" t="s">
        <v>30</v>
      </c>
      <c r="D46">
        <v>2</v>
      </c>
      <c r="E46" t="s">
        <v>14</v>
      </c>
      <c r="F46" s="1" t="s">
        <v>21</v>
      </c>
      <c r="G46" s="2" t="s">
        <v>27</v>
      </c>
      <c r="H46">
        <v>36.5</v>
      </c>
      <c r="I46" s="3" t="s">
        <v>57</v>
      </c>
      <c r="J46" s="3" t="s">
        <v>58</v>
      </c>
      <c r="K46" s="4">
        <v>45811</v>
      </c>
      <c r="L46" t="s">
        <v>35</v>
      </c>
    </row>
    <row r="47" spans="1:13">
      <c r="A47" t="s">
        <v>53</v>
      </c>
      <c r="B47" t="s">
        <v>31</v>
      </c>
      <c r="C47" t="s">
        <v>30</v>
      </c>
      <c r="D47">
        <v>3</v>
      </c>
      <c r="E47" t="s">
        <v>14</v>
      </c>
      <c r="F47" s="1" t="s">
        <v>44</v>
      </c>
      <c r="G47" s="2" t="s">
        <v>25</v>
      </c>
      <c r="H47">
        <v>36.5</v>
      </c>
      <c r="I47" s="3" t="s">
        <v>57</v>
      </c>
      <c r="J47" s="3" t="s">
        <v>58</v>
      </c>
      <c r="K47" s="4">
        <v>45811</v>
      </c>
      <c r="L47" t="s">
        <v>35</v>
      </c>
    </row>
    <row r="48" spans="1:13">
      <c r="A48" t="s">
        <v>53</v>
      </c>
      <c r="B48" t="s">
        <v>31</v>
      </c>
      <c r="C48" t="s">
        <v>30</v>
      </c>
      <c r="D48">
        <v>4</v>
      </c>
      <c r="E48" t="s">
        <v>14</v>
      </c>
      <c r="F48" s="1" t="s">
        <v>44</v>
      </c>
      <c r="G48" s="2" t="s">
        <v>25</v>
      </c>
      <c r="H48">
        <v>36.5</v>
      </c>
      <c r="I48" s="3" t="s">
        <v>57</v>
      </c>
      <c r="J48" s="3" t="s">
        <v>58</v>
      </c>
      <c r="K48" s="4">
        <v>45811</v>
      </c>
      <c r="L48" t="s">
        <v>35</v>
      </c>
    </row>
    <row r="49" spans="1:12">
      <c r="A49" t="s">
        <v>53</v>
      </c>
      <c r="B49" t="s">
        <v>31</v>
      </c>
      <c r="C49" t="s">
        <v>30</v>
      </c>
      <c r="D49">
        <v>5</v>
      </c>
      <c r="E49" t="s">
        <v>14</v>
      </c>
      <c r="F49" s="1" t="s">
        <v>20</v>
      </c>
      <c r="G49" s="2" t="s">
        <v>26</v>
      </c>
      <c r="H49">
        <v>36.5</v>
      </c>
      <c r="I49" s="3" t="s">
        <v>57</v>
      </c>
      <c r="J49" s="3" t="s">
        <v>58</v>
      </c>
      <c r="K49" s="4">
        <v>45811</v>
      </c>
      <c r="L49" t="s">
        <v>35</v>
      </c>
    </row>
    <row r="50" spans="1:12">
      <c r="A50" t="s">
        <v>53</v>
      </c>
      <c r="B50" t="s">
        <v>31</v>
      </c>
      <c r="C50" t="s">
        <v>30</v>
      </c>
      <c r="D50">
        <v>6</v>
      </c>
      <c r="E50" t="s">
        <v>14</v>
      </c>
      <c r="F50" s="1" t="s">
        <v>20</v>
      </c>
      <c r="G50" s="2" t="s">
        <v>26</v>
      </c>
      <c r="H50">
        <v>36.5</v>
      </c>
      <c r="I50" s="3" t="s">
        <v>57</v>
      </c>
      <c r="J50" s="3" t="s">
        <v>58</v>
      </c>
      <c r="K50" s="4">
        <v>45811</v>
      </c>
      <c r="L50" t="s">
        <v>35</v>
      </c>
    </row>
    <row r="51" spans="1:12">
      <c r="A51" t="s">
        <v>53</v>
      </c>
      <c r="B51" t="s">
        <v>31</v>
      </c>
      <c r="C51" t="s">
        <v>30</v>
      </c>
      <c r="D51">
        <v>7</v>
      </c>
      <c r="E51" t="s">
        <v>15</v>
      </c>
      <c r="F51" s="1" t="s">
        <v>21</v>
      </c>
      <c r="G51" s="2" t="s">
        <v>27</v>
      </c>
      <c r="H51">
        <v>36.5</v>
      </c>
      <c r="I51" s="3" t="s">
        <v>57</v>
      </c>
      <c r="J51" s="3" t="s">
        <v>58</v>
      </c>
      <c r="K51" s="4">
        <v>45811</v>
      </c>
      <c r="L51" t="s">
        <v>35</v>
      </c>
    </row>
    <row r="52" spans="1:12">
      <c r="A52" t="s">
        <v>53</v>
      </c>
      <c r="B52" t="s">
        <v>31</v>
      </c>
      <c r="C52" t="s">
        <v>30</v>
      </c>
      <c r="D52">
        <v>8</v>
      </c>
      <c r="E52" t="s">
        <v>15</v>
      </c>
      <c r="F52" s="9" t="s">
        <v>54</v>
      </c>
      <c r="G52" s="2" t="s">
        <v>55</v>
      </c>
      <c r="H52">
        <v>36.5</v>
      </c>
      <c r="I52" s="3" t="s">
        <v>57</v>
      </c>
      <c r="J52" s="3" t="s">
        <v>58</v>
      </c>
      <c r="K52" s="4">
        <v>45811</v>
      </c>
      <c r="L52" t="s">
        <v>35</v>
      </c>
    </row>
    <row r="53" spans="1:12">
      <c r="A53" t="s">
        <v>53</v>
      </c>
      <c r="B53" t="s">
        <v>31</v>
      </c>
      <c r="C53" t="s">
        <v>30</v>
      </c>
      <c r="D53">
        <v>9</v>
      </c>
      <c r="E53" t="s">
        <v>15</v>
      </c>
      <c r="F53" s="9" t="s">
        <v>21</v>
      </c>
      <c r="G53" s="2" t="s">
        <v>27</v>
      </c>
      <c r="H53">
        <v>36.5</v>
      </c>
      <c r="I53" s="3" t="s">
        <v>57</v>
      </c>
      <c r="J53" s="3" t="s">
        <v>58</v>
      </c>
      <c r="K53" s="4">
        <v>45811</v>
      </c>
      <c r="L53" t="s">
        <v>35</v>
      </c>
    </row>
    <row r="54" spans="1:12">
      <c r="A54" t="s">
        <v>53</v>
      </c>
      <c r="B54" t="s">
        <v>31</v>
      </c>
      <c r="C54" t="s">
        <v>30</v>
      </c>
      <c r="D54">
        <v>14</v>
      </c>
      <c r="E54" t="s">
        <v>14</v>
      </c>
      <c r="F54" s="8" t="s">
        <v>17</v>
      </c>
      <c r="G54" s="2" t="s">
        <v>23</v>
      </c>
      <c r="H54">
        <v>36.5</v>
      </c>
      <c r="I54" s="3" t="s">
        <v>57</v>
      </c>
      <c r="J54" s="3" t="s">
        <v>58</v>
      </c>
      <c r="K54" s="4">
        <v>45811</v>
      </c>
      <c r="L54" t="s">
        <v>35</v>
      </c>
    </row>
    <row r="55" spans="1:12">
      <c r="A55" t="s">
        <v>53</v>
      </c>
      <c r="B55" t="s">
        <v>31</v>
      </c>
      <c r="C55" t="s">
        <v>30</v>
      </c>
      <c r="D55">
        <v>18</v>
      </c>
      <c r="E55" t="s">
        <v>15</v>
      </c>
      <c r="F55" s="8" t="s">
        <v>44</v>
      </c>
      <c r="G55" s="2" t="s">
        <v>25</v>
      </c>
      <c r="H55">
        <v>36.5</v>
      </c>
      <c r="I55" s="3" t="s">
        <v>57</v>
      </c>
      <c r="J55" s="3" t="s">
        <v>58</v>
      </c>
      <c r="K55" s="4">
        <v>45811</v>
      </c>
      <c r="L55" t="s">
        <v>35</v>
      </c>
    </row>
    <row r="56" spans="1:12">
      <c r="A56" t="s">
        <v>53</v>
      </c>
      <c r="B56" t="s">
        <v>31</v>
      </c>
      <c r="C56" t="s">
        <v>30</v>
      </c>
      <c r="D56">
        <v>19</v>
      </c>
      <c r="E56" t="s">
        <v>15</v>
      </c>
      <c r="F56" s="8" t="s">
        <v>44</v>
      </c>
      <c r="G56" s="2" t="s">
        <v>25</v>
      </c>
      <c r="H56">
        <v>36.5</v>
      </c>
      <c r="I56" s="3" t="s">
        <v>57</v>
      </c>
      <c r="J56" s="3" t="s">
        <v>58</v>
      </c>
      <c r="K56" s="4">
        <v>45811</v>
      </c>
      <c r="L56" t="s">
        <v>35</v>
      </c>
    </row>
    <row r="57" spans="1:12">
      <c r="A57" t="s">
        <v>53</v>
      </c>
      <c r="B57" t="s">
        <v>31</v>
      </c>
      <c r="C57" t="s">
        <v>30</v>
      </c>
      <c r="D57">
        <v>20</v>
      </c>
      <c r="E57" t="s">
        <v>15</v>
      </c>
      <c r="F57" s="8" t="s">
        <v>44</v>
      </c>
      <c r="G57" s="2" t="s">
        <v>25</v>
      </c>
      <c r="H57">
        <v>36.5</v>
      </c>
      <c r="I57" s="3" t="s">
        <v>57</v>
      </c>
      <c r="J57" s="3" t="s">
        <v>58</v>
      </c>
      <c r="K57" s="4">
        <v>45811</v>
      </c>
      <c r="L57" t="s">
        <v>35</v>
      </c>
    </row>
    <row r="58" spans="1:12">
      <c r="A58" t="s">
        <v>53</v>
      </c>
      <c r="B58" t="s">
        <v>33</v>
      </c>
      <c r="C58" t="s">
        <v>32</v>
      </c>
      <c r="D58">
        <v>1</v>
      </c>
      <c r="E58" t="s">
        <v>14</v>
      </c>
      <c r="F58" s="10" t="s">
        <v>19</v>
      </c>
      <c r="G58" s="2" t="s">
        <v>25</v>
      </c>
      <c r="H58">
        <f>(27.7+36.6)/2</f>
        <v>32.15</v>
      </c>
      <c r="I58" t="s">
        <v>60</v>
      </c>
      <c r="J58" s="3" t="s">
        <v>59</v>
      </c>
      <c r="K58" s="4">
        <v>45811</v>
      </c>
      <c r="L58" t="s">
        <v>35</v>
      </c>
    </row>
    <row r="59" spans="1:12">
      <c r="A59" t="s">
        <v>62</v>
      </c>
      <c r="B59" t="s">
        <v>31</v>
      </c>
      <c r="C59" t="s">
        <v>30</v>
      </c>
      <c r="D59">
        <v>1</v>
      </c>
      <c r="E59" t="s">
        <v>14</v>
      </c>
      <c r="F59" s="8" t="s">
        <v>63</v>
      </c>
      <c r="G59" s="2" t="s">
        <v>25</v>
      </c>
      <c r="H59">
        <f>(32+30.4)/2</f>
        <v>31.2</v>
      </c>
      <c r="I59" s="3" t="s">
        <v>64</v>
      </c>
      <c r="J59" s="3" t="s">
        <v>65</v>
      </c>
      <c r="K59" s="4">
        <v>45812</v>
      </c>
      <c r="L59" t="s">
        <v>35</v>
      </c>
    </row>
    <row r="60" spans="1:12">
      <c r="A60" t="s">
        <v>62</v>
      </c>
      <c r="B60" t="s">
        <v>31</v>
      </c>
      <c r="C60" t="s">
        <v>30</v>
      </c>
      <c r="D60">
        <v>2</v>
      </c>
      <c r="E60" t="s">
        <v>14</v>
      </c>
      <c r="F60" s="10" t="s">
        <v>21</v>
      </c>
      <c r="G60" s="2" t="s">
        <v>27</v>
      </c>
      <c r="H60">
        <f t="shared" ref="H60:H63" si="4">(32+30.4)/2</f>
        <v>31.2</v>
      </c>
      <c r="I60" s="3" t="s">
        <v>64</v>
      </c>
      <c r="J60" s="3" t="s">
        <v>65</v>
      </c>
      <c r="K60" s="4">
        <v>45812</v>
      </c>
      <c r="L60" t="s">
        <v>35</v>
      </c>
    </row>
    <row r="61" spans="1:12">
      <c r="A61" t="s">
        <v>62</v>
      </c>
      <c r="B61" t="s">
        <v>31</v>
      </c>
      <c r="C61" t="s">
        <v>30</v>
      </c>
      <c r="D61">
        <v>4</v>
      </c>
      <c r="E61" t="s">
        <v>15</v>
      </c>
      <c r="F61" s="8" t="s">
        <v>44</v>
      </c>
      <c r="G61" s="2" t="s">
        <v>25</v>
      </c>
      <c r="H61">
        <f t="shared" si="4"/>
        <v>31.2</v>
      </c>
      <c r="I61" s="3" t="s">
        <v>64</v>
      </c>
      <c r="J61" s="3" t="s">
        <v>65</v>
      </c>
      <c r="K61" s="4">
        <v>45812</v>
      </c>
      <c r="L61" t="s">
        <v>35</v>
      </c>
    </row>
    <row r="62" spans="1:12">
      <c r="A62" t="s">
        <v>62</v>
      </c>
      <c r="B62" t="s">
        <v>31</v>
      </c>
      <c r="C62" t="s">
        <v>30</v>
      </c>
      <c r="D62">
        <v>5</v>
      </c>
      <c r="E62" t="s">
        <v>15</v>
      </c>
      <c r="F62" t="s">
        <v>21</v>
      </c>
      <c r="G62" s="2" t="s">
        <v>27</v>
      </c>
      <c r="H62">
        <f t="shared" si="4"/>
        <v>31.2</v>
      </c>
      <c r="I62" s="3" t="s">
        <v>64</v>
      </c>
      <c r="J62" s="3" t="s">
        <v>65</v>
      </c>
      <c r="K62" s="4">
        <v>45812</v>
      </c>
      <c r="L62" t="s">
        <v>35</v>
      </c>
    </row>
    <row r="63" spans="1:12">
      <c r="A63" t="s">
        <v>62</v>
      </c>
      <c r="B63" t="s">
        <v>31</v>
      </c>
      <c r="C63" t="s">
        <v>30</v>
      </c>
      <c r="D63">
        <v>6</v>
      </c>
      <c r="E63" t="s">
        <v>15</v>
      </c>
      <c r="F63" s="8" t="s">
        <v>44</v>
      </c>
      <c r="G63" s="2" t="s">
        <v>25</v>
      </c>
      <c r="H63">
        <f t="shared" si="4"/>
        <v>31.2</v>
      </c>
      <c r="I63" s="3" t="s">
        <v>64</v>
      </c>
      <c r="J63" s="3" t="s">
        <v>65</v>
      </c>
      <c r="K63" s="4">
        <v>45812</v>
      </c>
      <c r="L63" t="s">
        <v>35</v>
      </c>
    </row>
    <row r="64" spans="1:12">
      <c r="A64" t="s">
        <v>66</v>
      </c>
      <c r="B64" t="s">
        <v>13</v>
      </c>
      <c r="C64" t="s">
        <v>12</v>
      </c>
      <c r="D64">
        <v>5</v>
      </c>
      <c r="E64" t="s">
        <v>15</v>
      </c>
      <c r="F64" s="10" t="s">
        <v>17</v>
      </c>
      <c r="G64" s="2" t="s">
        <v>23</v>
      </c>
      <c r="H64">
        <f>(28.5+26.2)/2</f>
        <v>27.35</v>
      </c>
      <c r="I64" t="s">
        <v>67</v>
      </c>
      <c r="J64" t="s">
        <v>68</v>
      </c>
      <c r="K64" s="4">
        <v>45812</v>
      </c>
      <c r="L64" t="s">
        <v>35</v>
      </c>
    </row>
    <row r="65" spans="1:12">
      <c r="A65" t="s">
        <v>66</v>
      </c>
      <c r="B65" t="s">
        <v>13</v>
      </c>
      <c r="C65" t="s">
        <v>12</v>
      </c>
      <c r="D65">
        <v>6</v>
      </c>
      <c r="E65" t="s">
        <v>15</v>
      </c>
      <c r="F65" s="10" t="s">
        <v>24</v>
      </c>
      <c r="G65" s="2" t="s">
        <v>25</v>
      </c>
      <c r="H65">
        <f>(28.5+26.2)/2</f>
        <v>27.35</v>
      </c>
      <c r="I65" t="s">
        <v>67</v>
      </c>
      <c r="J65" t="s">
        <v>68</v>
      </c>
      <c r="K65" s="4">
        <v>45812</v>
      </c>
      <c r="L65" t="s">
        <v>35</v>
      </c>
    </row>
    <row r="66" spans="1:12">
      <c r="A66" t="s">
        <v>66</v>
      </c>
      <c r="B66" t="s">
        <v>31</v>
      </c>
      <c r="C66" t="s">
        <v>30</v>
      </c>
      <c r="D66">
        <v>1</v>
      </c>
      <c r="E66" t="s">
        <v>14</v>
      </c>
      <c r="F66" s="8" t="s">
        <v>44</v>
      </c>
      <c r="G66" s="2" t="s">
        <v>25</v>
      </c>
      <c r="H66">
        <v>27.05</v>
      </c>
      <c r="I66" t="s">
        <v>69</v>
      </c>
      <c r="J66">
        <v>23.469152999999999</v>
      </c>
      <c r="K66" s="4">
        <v>45812</v>
      </c>
      <c r="L66" t="s">
        <v>35</v>
      </c>
    </row>
    <row r="67" spans="1:12">
      <c r="A67" t="s">
        <v>66</v>
      </c>
      <c r="B67" t="s">
        <v>31</v>
      </c>
      <c r="C67" t="s">
        <v>30</v>
      </c>
      <c r="D67">
        <v>2</v>
      </c>
      <c r="E67" t="s">
        <v>14</v>
      </c>
      <c r="F67" s="8" t="s">
        <v>44</v>
      </c>
      <c r="G67" s="2" t="s">
        <v>25</v>
      </c>
      <c r="H67">
        <v>27.05</v>
      </c>
      <c r="I67" t="s">
        <v>69</v>
      </c>
      <c r="J67">
        <v>23.469152999999999</v>
      </c>
      <c r="K67" s="4">
        <v>45812</v>
      </c>
      <c r="L67" t="s">
        <v>35</v>
      </c>
    </row>
    <row r="68" spans="1:12">
      <c r="A68" t="s">
        <v>66</v>
      </c>
      <c r="B68" t="s">
        <v>31</v>
      </c>
      <c r="C68" t="s">
        <v>30</v>
      </c>
      <c r="D68">
        <v>3</v>
      </c>
      <c r="E68" t="s">
        <v>14</v>
      </c>
      <c r="F68" s="8" t="s">
        <v>44</v>
      </c>
      <c r="G68" s="2" t="s">
        <v>25</v>
      </c>
      <c r="H68">
        <v>27.05</v>
      </c>
      <c r="I68" t="s">
        <v>69</v>
      </c>
      <c r="J68">
        <v>23.469152999999999</v>
      </c>
      <c r="K68" s="4">
        <v>45812</v>
      </c>
      <c r="L68" t="s">
        <v>35</v>
      </c>
    </row>
    <row r="69" spans="1:12">
      <c r="A69" t="s">
        <v>66</v>
      </c>
      <c r="B69" t="s">
        <v>31</v>
      </c>
      <c r="C69" t="s">
        <v>30</v>
      </c>
      <c r="D69">
        <v>4</v>
      </c>
      <c r="E69" t="s">
        <v>14</v>
      </c>
      <c r="F69" s="8" t="s">
        <v>63</v>
      </c>
      <c r="G69" s="2" t="s">
        <v>25</v>
      </c>
      <c r="H69">
        <v>27.05</v>
      </c>
      <c r="I69" t="s">
        <v>69</v>
      </c>
      <c r="J69">
        <v>23.469152999999999</v>
      </c>
      <c r="K69" s="4">
        <v>45812</v>
      </c>
      <c r="L69" t="s">
        <v>35</v>
      </c>
    </row>
    <row r="70" spans="1:12">
      <c r="A70" t="s">
        <v>66</v>
      </c>
      <c r="B70" t="s">
        <v>31</v>
      </c>
      <c r="C70" t="s">
        <v>30</v>
      </c>
      <c r="D70">
        <v>5</v>
      </c>
      <c r="E70" t="s">
        <v>15</v>
      </c>
      <c r="F70" s="8" t="s">
        <v>17</v>
      </c>
      <c r="G70" s="2" t="s">
        <v>23</v>
      </c>
      <c r="H70">
        <v>27.05</v>
      </c>
      <c r="I70" t="s">
        <v>69</v>
      </c>
      <c r="J70">
        <v>23.469152999999999</v>
      </c>
      <c r="K70" s="4">
        <v>45812</v>
      </c>
      <c r="L70" t="s">
        <v>35</v>
      </c>
    </row>
    <row r="71" spans="1:12">
      <c r="A71" t="s">
        <v>66</v>
      </c>
      <c r="B71" t="s">
        <v>31</v>
      </c>
      <c r="C71" t="s">
        <v>30</v>
      </c>
      <c r="D71">
        <v>6</v>
      </c>
      <c r="E71" t="s">
        <v>15</v>
      </c>
      <c r="F71" s="8" t="s">
        <v>17</v>
      </c>
      <c r="G71" s="2" t="s">
        <v>23</v>
      </c>
      <c r="H71">
        <v>27.05</v>
      </c>
      <c r="I71" t="s">
        <v>69</v>
      </c>
      <c r="J71">
        <v>23.469152999999999</v>
      </c>
      <c r="K71" s="4">
        <v>45812</v>
      </c>
      <c r="L71" t="s">
        <v>35</v>
      </c>
    </row>
    <row r="72" spans="1:12">
      <c r="A72" t="s">
        <v>66</v>
      </c>
      <c r="B72" t="s">
        <v>31</v>
      </c>
      <c r="C72" t="s">
        <v>30</v>
      </c>
      <c r="D72">
        <v>7</v>
      </c>
      <c r="E72" t="s">
        <v>15</v>
      </c>
      <c r="F72" s="8" t="s">
        <v>44</v>
      </c>
      <c r="G72" s="2" t="s">
        <v>25</v>
      </c>
      <c r="H72">
        <v>27.05</v>
      </c>
      <c r="I72" t="s">
        <v>69</v>
      </c>
      <c r="J72">
        <v>23.469152999999999</v>
      </c>
      <c r="K72" s="4">
        <v>45812</v>
      </c>
      <c r="L72" t="s">
        <v>35</v>
      </c>
    </row>
    <row r="73" spans="1:12">
      <c r="A73" t="s">
        <v>66</v>
      </c>
      <c r="B73" t="s">
        <v>31</v>
      </c>
      <c r="C73" t="s">
        <v>30</v>
      </c>
      <c r="D73">
        <v>8</v>
      </c>
      <c r="E73" t="s">
        <v>15</v>
      </c>
      <c r="F73" s="8" t="s">
        <v>19</v>
      </c>
      <c r="G73" s="2" t="s">
        <v>25</v>
      </c>
      <c r="H73">
        <v>27.05</v>
      </c>
      <c r="I73" t="s">
        <v>69</v>
      </c>
      <c r="J73">
        <v>23.469152999999999</v>
      </c>
      <c r="K73" s="4">
        <v>45812</v>
      </c>
      <c r="L73" t="s">
        <v>35</v>
      </c>
    </row>
    <row r="74" spans="1:12">
      <c r="A74" t="s">
        <v>70</v>
      </c>
      <c r="B74" t="s">
        <v>13</v>
      </c>
      <c r="C74" t="s">
        <v>12</v>
      </c>
      <c r="D74">
        <v>1</v>
      </c>
      <c r="E74" t="s">
        <v>14</v>
      </c>
      <c r="F74" s="8" t="s">
        <v>71</v>
      </c>
      <c r="G74" s="2" t="s">
        <v>25</v>
      </c>
      <c r="H74">
        <f>(53.4+29)/2</f>
        <v>41.2</v>
      </c>
      <c r="I74" t="s">
        <v>72</v>
      </c>
      <c r="J74" t="s">
        <v>73</v>
      </c>
      <c r="K74" s="4">
        <v>45812</v>
      </c>
      <c r="L74" t="s">
        <v>35</v>
      </c>
    </row>
    <row r="75" spans="1:12">
      <c r="A75" t="s">
        <v>70</v>
      </c>
      <c r="B75" t="s">
        <v>13</v>
      </c>
      <c r="C75" t="s">
        <v>12</v>
      </c>
      <c r="D75">
        <v>2</v>
      </c>
      <c r="E75" t="s">
        <v>15</v>
      </c>
      <c r="F75" s="8" t="s">
        <v>17</v>
      </c>
      <c r="G75" s="2" t="s">
        <v>23</v>
      </c>
      <c r="H75">
        <f t="shared" ref="H75:H85" si="5">(53.4+29)/2</f>
        <v>41.2</v>
      </c>
      <c r="I75" t="s">
        <v>72</v>
      </c>
      <c r="J75" t="s">
        <v>73</v>
      </c>
      <c r="K75" s="4">
        <v>45812</v>
      </c>
      <c r="L75" t="s">
        <v>35</v>
      </c>
    </row>
    <row r="76" spans="1:12">
      <c r="A76" t="s">
        <v>70</v>
      </c>
      <c r="B76" t="s">
        <v>13</v>
      </c>
      <c r="C76" t="s">
        <v>12</v>
      </c>
      <c r="D76">
        <v>3</v>
      </c>
      <c r="E76" t="s">
        <v>15</v>
      </c>
      <c r="F76" s="8" t="s">
        <v>21</v>
      </c>
      <c r="G76" s="2" t="s">
        <v>27</v>
      </c>
      <c r="H76">
        <f t="shared" si="5"/>
        <v>41.2</v>
      </c>
      <c r="I76" t="s">
        <v>72</v>
      </c>
      <c r="J76" t="s">
        <v>73</v>
      </c>
      <c r="K76" s="4">
        <v>45812</v>
      </c>
      <c r="L76" t="s">
        <v>35</v>
      </c>
    </row>
    <row r="77" spans="1:12">
      <c r="A77" t="s">
        <v>70</v>
      </c>
      <c r="B77" t="s">
        <v>13</v>
      </c>
      <c r="C77" t="s">
        <v>12</v>
      </c>
      <c r="D77">
        <v>4</v>
      </c>
      <c r="E77" t="s">
        <v>15</v>
      </c>
      <c r="F77" s="8" t="s">
        <v>17</v>
      </c>
      <c r="G77" s="2" t="s">
        <v>23</v>
      </c>
      <c r="H77">
        <f t="shared" si="5"/>
        <v>41.2</v>
      </c>
      <c r="I77" t="s">
        <v>72</v>
      </c>
      <c r="J77" t="s">
        <v>73</v>
      </c>
      <c r="K77" s="4">
        <v>45812</v>
      </c>
      <c r="L77" t="s">
        <v>35</v>
      </c>
    </row>
    <row r="78" spans="1:12">
      <c r="A78" t="s">
        <v>70</v>
      </c>
      <c r="B78" t="s">
        <v>13</v>
      </c>
      <c r="C78" t="s">
        <v>12</v>
      </c>
      <c r="D78">
        <v>5</v>
      </c>
      <c r="E78" t="s">
        <v>15</v>
      </c>
      <c r="F78" s="8" t="s">
        <v>17</v>
      </c>
      <c r="G78" s="2" t="s">
        <v>23</v>
      </c>
      <c r="H78">
        <f t="shared" si="5"/>
        <v>41.2</v>
      </c>
      <c r="I78" t="s">
        <v>72</v>
      </c>
      <c r="J78" t="s">
        <v>73</v>
      </c>
      <c r="K78" s="4">
        <v>45812</v>
      </c>
      <c r="L78" t="s">
        <v>35</v>
      </c>
    </row>
    <row r="79" spans="1:12">
      <c r="A79" t="s">
        <v>70</v>
      </c>
      <c r="B79" t="s">
        <v>13</v>
      </c>
      <c r="C79" t="s">
        <v>12</v>
      </c>
      <c r="D79">
        <v>6</v>
      </c>
      <c r="E79" t="s">
        <v>15</v>
      </c>
      <c r="F79" s="8" t="s">
        <v>17</v>
      </c>
      <c r="G79" s="2" t="s">
        <v>23</v>
      </c>
      <c r="H79">
        <f t="shared" si="5"/>
        <v>41.2</v>
      </c>
      <c r="I79" t="s">
        <v>72</v>
      </c>
      <c r="J79" t="s">
        <v>73</v>
      </c>
      <c r="K79" s="4">
        <v>45812</v>
      </c>
      <c r="L79" t="s">
        <v>35</v>
      </c>
    </row>
    <row r="80" spans="1:12">
      <c r="A80" t="s">
        <v>70</v>
      </c>
      <c r="B80" t="s">
        <v>13</v>
      </c>
      <c r="C80" t="s">
        <v>12</v>
      </c>
      <c r="D80">
        <v>7</v>
      </c>
      <c r="E80" t="s">
        <v>15</v>
      </c>
      <c r="F80" s="8" t="s">
        <v>71</v>
      </c>
      <c r="G80" s="2" t="s">
        <v>25</v>
      </c>
      <c r="H80">
        <f t="shared" si="5"/>
        <v>41.2</v>
      </c>
      <c r="I80" t="s">
        <v>72</v>
      </c>
      <c r="J80" t="s">
        <v>73</v>
      </c>
      <c r="K80" s="4">
        <v>45812</v>
      </c>
      <c r="L80" t="s">
        <v>35</v>
      </c>
    </row>
    <row r="81" spans="1:12">
      <c r="A81" t="s">
        <v>70</v>
      </c>
      <c r="B81" t="s">
        <v>13</v>
      </c>
      <c r="C81" t="s">
        <v>12</v>
      </c>
      <c r="D81">
        <v>8</v>
      </c>
      <c r="E81" t="s">
        <v>15</v>
      </c>
      <c r="F81" s="8" t="s">
        <v>17</v>
      </c>
      <c r="G81" s="2" t="s">
        <v>23</v>
      </c>
      <c r="H81">
        <f t="shared" si="5"/>
        <v>41.2</v>
      </c>
      <c r="I81" t="s">
        <v>72</v>
      </c>
      <c r="J81" t="s">
        <v>73</v>
      </c>
      <c r="K81" s="4">
        <v>45812</v>
      </c>
      <c r="L81" t="s">
        <v>35</v>
      </c>
    </row>
    <row r="82" spans="1:12">
      <c r="A82" t="s">
        <v>70</v>
      </c>
      <c r="B82" t="s">
        <v>13</v>
      </c>
      <c r="C82" t="s">
        <v>12</v>
      </c>
      <c r="D82">
        <v>9</v>
      </c>
      <c r="E82" t="s">
        <v>15</v>
      </c>
      <c r="F82" s="8" t="s">
        <v>17</v>
      </c>
      <c r="G82" s="2" t="s">
        <v>23</v>
      </c>
      <c r="H82">
        <f t="shared" si="5"/>
        <v>41.2</v>
      </c>
      <c r="I82" t="s">
        <v>72</v>
      </c>
      <c r="J82" t="s">
        <v>73</v>
      </c>
      <c r="K82" s="4">
        <v>45812</v>
      </c>
      <c r="L82" t="s">
        <v>35</v>
      </c>
    </row>
    <row r="83" spans="1:12">
      <c r="A83" t="s">
        <v>70</v>
      </c>
      <c r="B83" t="s">
        <v>13</v>
      </c>
      <c r="C83" t="s">
        <v>12</v>
      </c>
      <c r="D83">
        <v>10</v>
      </c>
      <c r="E83" t="s">
        <v>15</v>
      </c>
      <c r="F83" s="8" t="s">
        <v>20</v>
      </c>
      <c r="G83" s="2" t="s">
        <v>26</v>
      </c>
      <c r="H83">
        <f t="shared" si="5"/>
        <v>41.2</v>
      </c>
      <c r="I83" t="s">
        <v>72</v>
      </c>
      <c r="J83" t="s">
        <v>73</v>
      </c>
      <c r="K83" s="4">
        <v>45812</v>
      </c>
      <c r="L83" t="s">
        <v>35</v>
      </c>
    </row>
    <row r="84" spans="1:12">
      <c r="A84" t="s">
        <v>70</v>
      </c>
      <c r="B84" t="s">
        <v>13</v>
      </c>
      <c r="C84" t="s">
        <v>12</v>
      </c>
      <c r="D84">
        <v>11</v>
      </c>
      <c r="E84" t="s">
        <v>15</v>
      </c>
      <c r="F84" s="8" t="s">
        <v>20</v>
      </c>
      <c r="G84" s="2" t="s">
        <v>26</v>
      </c>
      <c r="H84">
        <f t="shared" si="5"/>
        <v>41.2</v>
      </c>
      <c r="I84" t="s">
        <v>72</v>
      </c>
      <c r="J84" t="s">
        <v>73</v>
      </c>
      <c r="K84" s="4">
        <v>45812</v>
      </c>
      <c r="L84" t="s">
        <v>35</v>
      </c>
    </row>
    <row r="85" spans="1:12">
      <c r="A85" t="s">
        <v>70</v>
      </c>
      <c r="B85" t="s">
        <v>13</v>
      </c>
      <c r="C85" t="s">
        <v>12</v>
      </c>
      <c r="D85">
        <v>12</v>
      </c>
      <c r="E85" t="s">
        <v>15</v>
      </c>
      <c r="F85" s="8" t="s">
        <v>20</v>
      </c>
      <c r="G85" s="2" t="s">
        <v>26</v>
      </c>
      <c r="H85">
        <f t="shared" si="5"/>
        <v>41.2</v>
      </c>
      <c r="I85" t="s">
        <v>72</v>
      </c>
      <c r="J85" t="s">
        <v>73</v>
      </c>
      <c r="K85" s="4">
        <v>45812</v>
      </c>
      <c r="L85" t="s">
        <v>35</v>
      </c>
    </row>
    <row r="86" spans="1:12">
      <c r="A86" t="s">
        <v>70</v>
      </c>
      <c r="B86" t="s">
        <v>31</v>
      </c>
      <c r="C86" t="s">
        <v>30</v>
      </c>
      <c r="D86">
        <v>1</v>
      </c>
      <c r="E86" t="s">
        <v>14</v>
      </c>
      <c r="F86" s="8" t="s">
        <v>21</v>
      </c>
      <c r="G86" s="2" t="s">
        <v>27</v>
      </c>
      <c r="H86">
        <v>30.25</v>
      </c>
      <c r="I86" t="s">
        <v>76</v>
      </c>
      <c r="J86" t="s">
        <v>77</v>
      </c>
      <c r="K86" s="4">
        <v>45812</v>
      </c>
      <c r="L86" t="s">
        <v>35</v>
      </c>
    </row>
    <row r="87" spans="1:12">
      <c r="A87" t="s">
        <v>70</v>
      </c>
      <c r="B87" t="s">
        <v>31</v>
      </c>
      <c r="C87" t="s">
        <v>30</v>
      </c>
      <c r="D87">
        <v>2</v>
      </c>
      <c r="E87" t="s">
        <v>14</v>
      </c>
      <c r="F87" s="8" t="s">
        <v>74</v>
      </c>
      <c r="G87" s="2" t="s">
        <v>75</v>
      </c>
      <c r="H87">
        <v>30.25</v>
      </c>
      <c r="I87" t="s">
        <v>76</v>
      </c>
      <c r="J87" t="s">
        <v>77</v>
      </c>
      <c r="K87" s="4">
        <v>45812</v>
      </c>
      <c r="L87" t="s">
        <v>35</v>
      </c>
    </row>
    <row r="88" spans="1:12">
      <c r="A88" t="s">
        <v>70</v>
      </c>
      <c r="B88" t="s">
        <v>31</v>
      </c>
      <c r="C88" t="s">
        <v>30</v>
      </c>
      <c r="D88">
        <v>3</v>
      </c>
      <c r="E88" t="s">
        <v>15</v>
      </c>
      <c r="F88" s="8" t="s">
        <v>17</v>
      </c>
      <c r="G88" s="2" t="s">
        <v>23</v>
      </c>
      <c r="H88">
        <v>30.25</v>
      </c>
      <c r="I88" t="s">
        <v>76</v>
      </c>
      <c r="J88" t="s">
        <v>77</v>
      </c>
      <c r="K88" s="4">
        <v>45812</v>
      </c>
      <c r="L88" t="s">
        <v>35</v>
      </c>
    </row>
    <row r="89" spans="1:12">
      <c r="A89" t="s">
        <v>70</v>
      </c>
      <c r="B89" t="s">
        <v>31</v>
      </c>
      <c r="C89" t="s">
        <v>30</v>
      </c>
      <c r="D89">
        <v>4</v>
      </c>
      <c r="E89" t="s">
        <v>15</v>
      </c>
      <c r="F89" s="8" t="s">
        <v>17</v>
      </c>
      <c r="G89" s="2" t="s">
        <v>23</v>
      </c>
      <c r="H89">
        <v>30.25</v>
      </c>
      <c r="I89" t="s">
        <v>76</v>
      </c>
      <c r="J89" t="s">
        <v>77</v>
      </c>
      <c r="K89" s="4">
        <v>45812</v>
      </c>
      <c r="L89" t="s">
        <v>35</v>
      </c>
    </row>
    <row r="90" spans="1:12">
      <c r="A90" t="s">
        <v>70</v>
      </c>
      <c r="B90" t="s">
        <v>31</v>
      </c>
      <c r="C90" t="s">
        <v>30</v>
      </c>
      <c r="D90">
        <v>5</v>
      </c>
      <c r="E90" t="s">
        <v>15</v>
      </c>
      <c r="F90" s="8" t="s">
        <v>17</v>
      </c>
      <c r="G90" s="2" t="s">
        <v>23</v>
      </c>
      <c r="H90">
        <v>30.25</v>
      </c>
      <c r="I90" t="s">
        <v>76</v>
      </c>
      <c r="J90" t="s">
        <v>77</v>
      </c>
      <c r="K90" s="4">
        <v>45812</v>
      </c>
      <c r="L90" t="s">
        <v>35</v>
      </c>
    </row>
    <row r="91" spans="1:12">
      <c r="A91" t="s">
        <v>70</v>
      </c>
      <c r="B91" t="s">
        <v>31</v>
      </c>
      <c r="C91" t="s">
        <v>30</v>
      </c>
      <c r="D91">
        <v>6</v>
      </c>
      <c r="E91" t="s">
        <v>15</v>
      </c>
      <c r="F91" s="8" t="s">
        <v>17</v>
      </c>
      <c r="G91" s="2" t="s">
        <v>23</v>
      </c>
      <c r="H91">
        <v>30.25</v>
      </c>
      <c r="I91" t="s">
        <v>76</v>
      </c>
      <c r="J91" t="s">
        <v>77</v>
      </c>
      <c r="K91" s="4">
        <v>45812</v>
      </c>
      <c r="L91" t="s">
        <v>35</v>
      </c>
    </row>
    <row r="92" spans="1:12">
      <c r="A92" t="s">
        <v>70</v>
      </c>
      <c r="B92" t="s">
        <v>31</v>
      </c>
      <c r="C92" t="s">
        <v>30</v>
      </c>
      <c r="D92">
        <v>7</v>
      </c>
      <c r="E92" t="s">
        <v>15</v>
      </c>
      <c r="F92" s="8" t="s">
        <v>20</v>
      </c>
      <c r="G92" s="2" t="s">
        <v>26</v>
      </c>
      <c r="H92">
        <v>30.25</v>
      </c>
      <c r="I92" t="s">
        <v>76</v>
      </c>
      <c r="J92" t="s">
        <v>77</v>
      </c>
      <c r="K92" s="4">
        <v>45812</v>
      </c>
      <c r="L92" t="s">
        <v>35</v>
      </c>
    </row>
    <row r="93" spans="1:12">
      <c r="A93" t="s">
        <v>70</v>
      </c>
      <c r="B93" t="s">
        <v>31</v>
      </c>
      <c r="C93" t="s">
        <v>30</v>
      </c>
      <c r="D93">
        <v>8</v>
      </c>
      <c r="E93" t="s">
        <v>15</v>
      </c>
      <c r="F93" s="8" t="s">
        <v>20</v>
      </c>
      <c r="G93" s="2" t="s">
        <v>26</v>
      </c>
      <c r="H93">
        <v>30.25</v>
      </c>
      <c r="I93" t="s">
        <v>76</v>
      </c>
      <c r="J93" t="s">
        <v>77</v>
      </c>
      <c r="K93" s="4">
        <v>45812</v>
      </c>
      <c r="L93" t="s">
        <v>35</v>
      </c>
    </row>
    <row r="94" spans="1:12">
      <c r="A94" t="s">
        <v>70</v>
      </c>
      <c r="B94" t="s">
        <v>31</v>
      </c>
      <c r="C94" t="s">
        <v>30</v>
      </c>
      <c r="D94">
        <v>10</v>
      </c>
      <c r="E94" t="s">
        <v>15</v>
      </c>
      <c r="F94" s="8" t="s">
        <v>17</v>
      </c>
      <c r="G94" s="2" t="s">
        <v>23</v>
      </c>
      <c r="H94">
        <v>30.25</v>
      </c>
      <c r="I94" t="s">
        <v>76</v>
      </c>
      <c r="J94" t="s">
        <v>77</v>
      </c>
      <c r="K94" s="4">
        <v>45812</v>
      </c>
      <c r="L94" t="s">
        <v>35</v>
      </c>
    </row>
    <row r="95" spans="1:12">
      <c r="A95" t="s">
        <v>70</v>
      </c>
      <c r="B95" t="s">
        <v>31</v>
      </c>
      <c r="C95" t="s">
        <v>30</v>
      </c>
      <c r="D95">
        <v>11</v>
      </c>
      <c r="E95" t="s">
        <v>15</v>
      </c>
      <c r="F95" s="8" t="s">
        <v>20</v>
      </c>
      <c r="G95" s="2" t="s">
        <v>26</v>
      </c>
      <c r="H95">
        <v>30.25</v>
      </c>
      <c r="I95" t="s">
        <v>76</v>
      </c>
      <c r="J95" t="s">
        <v>77</v>
      </c>
      <c r="K95" s="4">
        <v>45812</v>
      </c>
      <c r="L95" t="s">
        <v>35</v>
      </c>
    </row>
    <row r="96" spans="1:12">
      <c r="A96" t="s">
        <v>70</v>
      </c>
      <c r="B96" t="s">
        <v>33</v>
      </c>
      <c r="C96" t="s">
        <v>32</v>
      </c>
      <c r="D96">
        <v>1</v>
      </c>
      <c r="E96" t="s">
        <v>15</v>
      </c>
      <c r="F96" s="8" t="s">
        <v>17</v>
      </c>
      <c r="G96" s="2" t="s">
        <v>23</v>
      </c>
      <c r="H96">
        <f>(27.1+30)/2</f>
        <v>28.55</v>
      </c>
      <c r="I96" t="s">
        <v>78</v>
      </c>
      <c r="J96" t="s">
        <v>79</v>
      </c>
      <c r="K96" s="4">
        <v>45812</v>
      </c>
      <c r="L96" t="s">
        <v>35</v>
      </c>
    </row>
    <row r="97" spans="1:12">
      <c r="A97" t="s">
        <v>70</v>
      </c>
      <c r="B97" t="s">
        <v>33</v>
      </c>
      <c r="C97" t="s">
        <v>32</v>
      </c>
      <c r="D97">
        <v>2</v>
      </c>
      <c r="E97" t="s">
        <v>15</v>
      </c>
      <c r="F97" s="8" t="s">
        <v>17</v>
      </c>
      <c r="G97" s="2" t="s">
        <v>23</v>
      </c>
      <c r="H97">
        <f>(27.1+30)/2</f>
        <v>28.55</v>
      </c>
      <c r="I97" t="s">
        <v>78</v>
      </c>
      <c r="J97" t="s">
        <v>79</v>
      </c>
      <c r="K97" s="4">
        <v>45812</v>
      </c>
      <c r="L97" t="s">
        <v>35</v>
      </c>
    </row>
    <row r="98" spans="1:12">
      <c r="A98" t="s">
        <v>80</v>
      </c>
      <c r="B98" t="s">
        <v>13</v>
      </c>
      <c r="C98" t="s">
        <v>12</v>
      </c>
      <c r="D98">
        <v>3</v>
      </c>
      <c r="E98" t="s">
        <v>15</v>
      </c>
      <c r="F98" s="8" t="s">
        <v>17</v>
      </c>
      <c r="G98" s="2" t="s">
        <v>23</v>
      </c>
      <c r="H98">
        <f>AVERAGE(77.6,29)</f>
        <v>53.3</v>
      </c>
      <c r="I98" t="s">
        <v>82</v>
      </c>
      <c r="J98" t="s">
        <v>83</v>
      </c>
      <c r="K98" s="4">
        <v>45812</v>
      </c>
      <c r="L98" t="s">
        <v>35</v>
      </c>
    </row>
    <row r="99" spans="1:12">
      <c r="A99" t="s">
        <v>80</v>
      </c>
      <c r="B99" t="s">
        <v>13</v>
      </c>
      <c r="C99" t="s">
        <v>12</v>
      </c>
      <c r="D99">
        <v>4</v>
      </c>
      <c r="E99" t="s">
        <v>15</v>
      </c>
      <c r="F99" s="8" t="s">
        <v>19</v>
      </c>
      <c r="G99" s="2" t="s">
        <v>25</v>
      </c>
      <c r="H99">
        <f t="shared" ref="H99:H107" si="6">AVERAGE(77.6,29)</f>
        <v>53.3</v>
      </c>
      <c r="I99" t="s">
        <v>82</v>
      </c>
      <c r="J99" t="s">
        <v>83</v>
      </c>
      <c r="K99" s="4">
        <v>45812</v>
      </c>
      <c r="L99" t="s">
        <v>35</v>
      </c>
    </row>
    <row r="100" spans="1:12">
      <c r="A100" t="s">
        <v>80</v>
      </c>
      <c r="B100" t="s">
        <v>13</v>
      </c>
      <c r="C100" t="s">
        <v>12</v>
      </c>
      <c r="D100">
        <v>5</v>
      </c>
      <c r="E100" t="s">
        <v>15</v>
      </c>
      <c r="F100" s="8" t="s">
        <v>19</v>
      </c>
      <c r="G100" s="2" t="s">
        <v>25</v>
      </c>
      <c r="H100">
        <f t="shared" si="6"/>
        <v>53.3</v>
      </c>
      <c r="I100" t="s">
        <v>82</v>
      </c>
      <c r="J100" t="s">
        <v>83</v>
      </c>
      <c r="K100" s="4">
        <v>45812</v>
      </c>
      <c r="L100" t="s">
        <v>35</v>
      </c>
    </row>
    <row r="101" spans="1:12">
      <c r="A101" t="s">
        <v>80</v>
      </c>
      <c r="B101" t="s">
        <v>13</v>
      </c>
      <c r="C101" t="s">
        <v>12</v>
      </c>
      <c r="D101">
        <v>6</v>
      </c>
      <c r="E101" t="s">
        <v>15</v>
      </c>
      <c r="F101" s="8" t="s">
        <v>17</v>
      </c>
      <c r="G101" s="2" t="s">
        <v>23</v>
      </c>
      <c r="H101">
        <f t="shared" si="6"/>
        <v>53.3</v>
      </c>
      <c r="I101" t="s">
        <v>82</v>
      </c>
      <c r="J101" t="s">
        <v>83</v>
      </c>
      <c r="K101" s="4">
        <v>45812</v>
      </c>
      <c r="L101" t="s">
        <v>35</v>
      </c>
    </row>
    <row r="102" spans="1:12">
      <c r="A102" t="s">
        <v>80</v>
      </c>
      <c r="B102" t="s">
        <v>13</v>
      </c>
      <c r="C102" t="s">
        <v>12</v>
      </c>
      <c r="D102">
        <v>7</v>
      </c>
      <c r="E102" t="s">
        <v>15</v>
      </c>
      <c r="F102" s="8" t="s">
        <v>17</v>
      </c>
      <c r="G102" s="2" t="s">
        <v>23</v>
      </c>
      <c r="H102">
        <f t="shared" si="6"/>
        <v>53.3</v>
      </c>
      <c r="I102" t="s">
        <v>82</v>
      </c>
      <c r="J102" t="s">
        <v>83</v>
      </c>
      <c r="K102" s="4">
        <v>45812</v>
      </c>
      <c r="L102" t="s">
        <v>35</v>
      </c>
    </row>
    <row r="103" spans="1:12">
      <c r="A103" t="s">
        <v>80</v>
      </c>
      <c r="B103" t="s">
        <v>13</v>
      </c>
      <c r="C103" t="s">
        <v>12</v>
      </c>
      <c r="D103">
        <v>8</v>
      </c>
      <c r="E103" t="s">
        <v>15</v>
      </c>
      <c r="F103" s="8" t="s">
        <v>17</v>
      </c>
      <c r="G103" s="2" t="s">
        <v>23</v>
      </c>
      <c r="H103">
        <f t="shared" si="6"/>
        <v>53.3</v>
      </c>
      <c r="I103" t="s">
        <v>82</v>
      </c>
      <c r="J103" t="s">
        <v>83</v>
      </c>
      <c r="K103" s="4">
        <v>45812</v>
      </c>
      <c r="L103" t="s">
        <v>35</v>
      </c>
    </row>
    <row r="104" spans="1:12">
      <c r="A104" t="s">
        <v>80</v>
      </c>
      <c r="B104" t="s">
        <v>13</v>
      </c>
      <c r="C104" t="s">
        <v>12</v>
      </c>
      <c r="D104">
        <v>9</v>
      </c>
      <c r="E104" t="s">
        <v>15</v>
      </c>
      <c r="F104" s="8" t="s">
        <v>17</v>
      </c>
      <c r="G104" s="2" t="s">
        <v>23</v>
      </c>
      <c r="H104">
        <f t="shared" si="6"/>
        <v>53.3</v>
      </c>
      <c r="I104" t="s">
        <v>82</v>
      </c>
      <c r="J104" t="s">
        <v>83</v>
      </c>
      <c r="K104" s="4">
        <v>45812</v>
      </c>
      <c r="L104" t="s">
        <v>35</v>
      </c>
    </row>
    <row r="105" spans="1:12">
      <c r="A105" t="s">
        <v>80</v>
      </c>
      <c r="B105" t="s">
        <v>13</v>
      </c>
      <c r="C105" t="s">
        <v>12</v>
      </c>
      <c r="D105">
        <v>10</v>
      </c>
      <c r="E105" t="s">
        <v>15</v>
      </c>
      <c r="F105" s="8" t="s">
        <v>17</v>
      </c>
      <c r="G105" s="2" t="s">
        <v>23</v>
      </c>
      <c r="H105">
        <f t="shared" si="6"/>
        <v>53.3</v>
      </c>
      <c r="I105" t="s">
        <v>82</v>
      </c>
      <c r="J105" t="s">
        <v>83</v>
      </c>
      <c r="K105" s="4">
        <v>45812</v>
      </c>
      <c r="L105" t="s">
        <v>35</v>
      </c>
    </row>
    <row r="106" spans="1:12">
      <c r="A106" t="s">
        <v>80</v>
      </c>
      <c r="B106" t="s">
        <v>13</v>
      </c>
      <c r="C106" t="s">
        <v>12</v>
      </c>
      <c r="D106">
        <v>11</v>
      </c>
      <c r="E106" t="s">
        <v>15</v>
      </c>
      <c r="F106" s="8" t="s">
        <v>17</v>
      </c>
      <c r="G106" s="2" t="s">
        <v>23</v>
      </c>
      <c r="H106">
        <f t="shared" si="6"/>
        <v>53.3</v>
      </c>
      <c r="I106" t="s">
        <v>82</v>
      </c>
      <c r="J106" t="s">
        <v>83</v>
      </c>
      <c r="K106" s="4">
        <v>45812</v>
      </c>
      <c r="L106" t="s">
        <v>35</v>
      </c>
    </row>
    <row r="107" spans="1:12">
      <c r="A107" t="s">
        <v>80</v>
      </c>
      <c r="B107" t="s">
        <v>13</v>
      </c>
      <c r="C107" t="s">
        <v>12</v>
      </c>
      <c r="D107">
        <v>12</v>
      </c>
      <c r="E107" t="s">
        <v>15</v>
      </c>
      <c r="F107" s="8" t="s">
        <v>19</v>
      </c>
      <c r="G107" s="2" t="s">
        <v>25</v>
      </c>
      <c r="H107">
        <f t="shared" si="6"/>
        <v>53.3</v>
      </c>
      <c r="I107" t="s">
        <v>82</v>
      </c>
      <c r="J107" t="s">
        <v>83</v>
      </c>
      <c r="K107" s="4">
        <v>45812</v>
      </c>
      <c r="L107" t="s">
        <v>35</v>
      </c>
    </row>
    <row r="108" spans="1:12">
      <c r="A108" t="s">
        <v>80</v>
      </c>
      <c r="B108" t="s">
        <v>31</v>
      </c>
      <c r="C108" t="s">
        <v>30</v>
      </c>
      <c r="D108">
        <v>1</v>
      </c>
      <c r="E108" t="s">
        <v>14</v>
      </c>
      <c r="F108" s="8" t="s">
        <v>63</v>
      </c>
      <c r="G108" s="2" t="s">
        <v>25</v>
      </c>
      <c r="H108">
        <f>AVERAGE(32.5,26.4)</f>
        <v>29.45</v>
      </c>
      <c r="I108" t="s">
        <v>84</v>
      </c>
      <c r="J108" t="s">
        <v>85</v>
      </c>
      <c r="K108" s="4">
        <v>45812</v>
      </c>
      <c r="L108" t="s">
        <v>35</v>
      </c>
    </row>
    <row r="109" spans="1:12">
      <c r="A109" t="s">
        <v>80</v>
      </c>
      <c r="B109" t="s">
        <v>31</v>
      </c>
      <c r="C109" t="s">
        <v>30</v>
      </c>
      <c r="D109">
        <v>2</v>
      </c>
      <c r="E109" t="s">
        <v>14</v>
      </c>
      <c r="F109" s="8" t="s">
        <v>19</v>
      </c>
      <c r="G109" s="2" t="s">
        <v>25</v>
      </c>
      <c r="H109">
        <f t="shared" ref="H109:H114" si="7">AVERAGE(32.5,26.4)</f>
        <v>29.45</v>
      </c>
      <c r="I109" t="s">
        <v>84</v>
      </c>
      <c r="J109" t="s">
        <v>85</v>
      </c>
      <c r="K109" s="4">
        <v>45812</v>
      </c>
      <c r="L109" t="s">
        <v>35</v>
      </c>
    </row>
    <row r="110" spans="1:12">
      <c r="A110" t="s">
        <v>80</v>
      </c>
      <c r="B110" t="s">
        <v>31</v>
      </c>
      <c r="C110" t="s">
        <v>30</v>
      </c>
      <c r="D110">
        <v>3</v>
      </c>
      <c r="E110" t="s">
        <v>14</v>
      </c>
      <c r="F110" s="8" t="s">
        <v>19</v>
      </c>
      <c r="G110" s="2" t="s">
        <v>25</v>
      </c>
      <c r="H110">
        <f t="shared" si="7"/>
        <v>29.45</v>
      </c>
      <c r="I110" t="s">
        <v>84</v>
      </c>
      <c r="J110" t="s">
        <v>85</v>
      </c>
      <c r="K110" s="4">
        <v>45812</v>
      </c>
      <c r="L110" t="s">
        <v>35</v>
      </c>
    </row>
    <row r="111" spans="1:12">
      <c r="A111" t="s">
        <v>80</v>
      </c>
      <c r="B111" t="s">
        <v>31</v>
      </c>
      <c r="C111" t="s">
        <v>30</v>
      </c>
      <c r="D111">
        <v>5</v>
      </c>
      <c r="E111" t="s">
        <v>15</v>
      </c>
      <c r="F111" s="8" t="s">
        <v>17</v>
      </c>
      <c r="G111" s="2" t="s">
        <v>23</v>
      </c>
      <c r="H111">
        <f t="shared" si="7"/>
        <v>29.45</v>
      </c>
      <c r="I111" t="s">
        <v>84</v>
      </c>
      <c r="J111" t="s">
        <v>85</v>
      </c>
      <c r="K111" s="4">
        <v>45812</v>
      </c>
      <c r="L111" t="s">
        <v>35</v>
      </c>
    </row>
    <row r="112" spans="1:12">
      <c r="A112" t="s">
        <v>80</v>
      </c>
      <c r="B112" t="s">
        <v>31</v>
      </c>
      <c r="C112" t="s">
        <v>30</v>
      </c>
      <c r="D112">
        <v>6</v>
      </c>
      <c r="E112" t="s">
        <v>15</v>
      </c>
      <c r="F112" s="8" t="s">
        <v>17</v>
      </c>
      <c r="G112" s="2" t="s">
        <v>23</v>
      </c>
      <c r="H112">
        <f t="shared" si="7"/>
        <v>29.45</v>
      </c>
      <c r="I112" t="s">
        <v>84</v>
      </c>
      <c r="J112" t="s">
        <v>85</v>
      </c>
      <c r="K112" s="4">
        <v>45812</v>
      </c>
      <c r="L112" t="s">
        <v>35</v>
      </c>
    </row>
    <row r="113" spans="1:12">
      <c r="A113" t="s">
        <v>80</v>
      </c>
      <c r="B113" t="s">
        <v>31</v>
      </c>
      <c r="C113" t="s">
        <v>30</v>
      </c>
      <c r="D113">
        <v>7</v>
      </c>
      <c r="E113" t="s">
        <v>15</v>
      </c>
      <c r="F113" s="8" t="s">
        <v>81</v>
      </c>
      <c r="G113" s="2" t="s">
        <v>23</v>
      </c>
      <c r="H113">
        <f t="shared" si="7"/>
        <v>29.45</v>
      </c>
      <c r="I113" t="s">
        <v>84</v>
      </c>
      <c r="J113" t="s">
        <v>85</v>
      </c>
      <c r="K113" s="4">
        <v>45812</v>
      </c>
      <c r="L113" t="s">
        <v>35</v>
      </c>
    </row>
    <row r="114" spans="1:12">
      <c r="A114" t="s">
        <v>80</v>
      </c>
      <c r="B114" t="s">
        <v>31</v>
      </c>
      <c r="C114" t="s">
        <v>30</v>
      </c>
      <c r="D114">
        <v>8</v>
      </c>
      <c r="E114" t="s">
        <v>15</v>
      </c>
      <c r="F114" s="8" t="s">
        <v>54</v>
      </c>
      <c r="G114" s="2" t="s">
        <v>55</v>
      </c>
      <c r="H114">
        <f t="shared" si="7"/>
        <v>29.45</v>
      </c>
      <c r="I114" t="s">
        <v>84</v>
      </c>
      <c r="J114" t="s">
        <v>85</v>
      </c>
      <c r="K114" s="4">
        <v>45812</v>
      </c>
      <c r="L114" t="s">
        <v>35</v>
      </c>
    </row>
    <row r="115" spans="1:12">
      <c r="A115" t="s">
        <v>80</v>
      </c>
      <c r="B115" t="s">
        <v>33</v>
      </c>
      <c r="C115" t="s">
        <v>32</v>
      </c>
      <c r="D115">
        <v>4</v>
      </c>
      <c r="E115" t="s">
        <v>15</v>
      </c>
      <c r="F115" s="8" t="s">
        <v>17</v>
      </c>
      <c r="G115" s="2" t="s">
        <v>23</v>
      </c>
      <c r="H115">
        <f>AVERAGE(25.9,29.9)</f>
        <v>27.9</v>
      </c>
      <c r="I115" t="s">
        <v>86</v>
      </c>
      <c r="J115" t="s">
        <v>87</v>
      </c>
      <c r="K115" s="4">
        <v>45812</v>
      </c>
      <c r="L115" t="s">
        <v>35</v>
      </c>
    </row>
    <row r="116" spans="1:12">
      <c r="A116" t="s">
        <v>80</v>
      </c>
      <c r="B116" t="s">
        <v>33</v>
      </c>
      <c r="C116" t="s">
        <v>32</v>
      </c>
      <c r="D116">
        <v>5</v>
      </c>
      <c r="E116" t="s">
        <v>15</v>
      </c>
      <c r="F116" s="8" t="s">
        <v>17</v>
      </c>
      <c r="G116" s="2" t="s">
        <v>23</v>
      </c>
      <c r="H116">
        <f t="shared" ref="H116:H117" si="8">AVERAGE(25.9,29.9)</f>
        <v>27.9</v>
      </c>
      <c r="I116" t="s">
        <v>86</v>
      </c>
      <c r="J116" t="s">
        <v>87</v>
      </c>
      <c r="K116" s="4">
        <v>45812</v>
      </c>
      <c r="L116" t="s">
        <v>35</v>
      </c>
    </row>
    <row r="117" spans="1:12">
      <c r="A117" t="s">
        <v>80</v>
      </c>
      <c r="B117" t="s">
        <v>33</v>
      </c>
      <c r="C117" t="s">
        <v>32</v>
      </c>
      <c r="D117">
        <v>6</v>
      </c>
      <c r="E117" t="s">
        <v>15</v>
      </c>
      <c r="F117" s="8" t="s">
        <v>17</v>
      </c>
      <c r="G117" s="2" t="s">
        <v>23</v>
      </c>
      <c r="H117">
        <f t="shared" si="8"/>
        <v>27.9</v>
      </c>
      <c r="I117" t="s">
        <v>86</v>
      </c>
      <c r="J117" t="s">
        <v>87</v>
      </c>
      <c r="K117" s="4">
        <v>45812</v>
      </c>
      <c r="L117" t="s">
        <v>35</v>
      </c>
    </row>
    <row r="118" spans="1:12">
      <c r="A118" t="s">
        <v>88</v>
      </c>
      <c r="B118" t="s">
        <v>13</v>
      </c>
      <c r="C118" t="s">
        <v>12</v>
      </c>
      <c r="D118">
        <v>4</v>
      </c>
      <c r="E118" t="s">
        <v>15</v>
      </c>
      <c r="F118" s="8" t="s">
        <v>18</v>
      </c>
      <c r="G118" s="2" t="s">
        <v>25</v>
      </c>
      <c r="H118" t="s">
        <v>90</v>
      </c>
      <c r="I118" s="3" t="s">
        <v>91</v>
      </c>
      <c r="J118" s="3" t="s">
        <v>92</v>
      </c>
      <c r="K118" s="4">
        <v>45814</v>
      </c>
      <c r="L118" t="s">
        <v>35</v>
      </c>
    </row>
    <row r="119" spans="1:12">
      <c r="A119" t="s">
        <v>88</v>
      </c>
      <c r="B119" t="s">
        <v>31</v>
      </c>
      <c r="C119" t="s">
        <v>30</v>
      </c>
      <c r="D119">
        <v>1</v>
      </c>
      <c r="E119" t="s">
        <v>14</v>
      </c>
      <c r="F119" s="8" t="s">
        <v>89</v>
      </c>
      <c r="G119" s="2" t="s">
        <v>25</v>
      </c>
      <c r="H119" t="s">
        <v>90</v>
      </c>
      <c r="I119" s="3" t="s">
        <v>93</v>
      </c>
      <c r="J119" s="3" t="s">
        <v>94</v>
      </c>
      <c r="K119" s="4">
        <v>45814</v>
      </c>
      <c r="L119" t="s">
        <v>35</v>
      </c>
    </row>
    <row r="120" spans="1:12">
      <c r="A120" t="s">
        <v>88</v>
      </c>
      <c r="B120" t="s">
        <v>31</v>
      </c>
      <c r="C120" t="s">
        <v>30</v>
      </c>
      <c r="D120">
        <v>2</v>
      </c>
      <c r="E120" t="s">
        <v>15</v>
      </c>
      <c r="F120" s="8" t="s">
        <v>17</v>
      </c>
      <c r="G120" s="2" t="s">
        <v>23</v>
      </c>
      <c r="H120" t="s">
        <v>90</v>
      </c>
      <c r="I120" s="3" t="s">
        <v>93</v>
      </c>
      <c r="J120" s="3" t="s">
        <v>94</v>
      </c>
      <c r="K120" s="4">
        <v>45814</v>
      </c>
      <c r="L120" t="s">
        <v>35</v>
      </c>
    </row>
    <row r="121" spans="1:12">
      <c r="A121" t="s">
        <v>88</v>
      </c>
      <c r="B121" t="s">
        <v>31</v>
      </c>
      <c r="C121" t="s">
        <v>30</v>
      </c>
      <c r="D121">
        <v>3</v>
      </c>
      <c r="E121" t="s">
        <v>15</v>
      </c>
      <c r="F121" s="8" t="s">
        <v>18</v>
      </c>
      <c r="G121" s="2" t="s">
        <v>25</v>
      </c>
      <c r="H121" t="s">
        <v>90</v>
      </c>
      <c r="I121" s="3" t="s">
        <v>93</v>
      </c>
      <c r="J121" s="3" t="s">
        <v>94</v>
      </c>
      <c r="K121" s="4">
        <v>45814</v>
      </c>
      <c r="L121" t="s">
        <v>35</v>
      </c>
    </row>
    <row r="122" spans="1:12">
      <c r="A122" t="s">
        <v>88</v>
      </c>
      <c r="B122" t="s">
        <v>31</v>
      </c>
      <c r="C122" t="s">
        <v>30</v>
      </c>
      <c r="D122">
        <v>4</v>
      </c>
      <c r="E122" t="s">
        <v>15</v>
      </c>
      <c r="F122" s="8" t="s">
        <v>63</v>
      </c>
      <c r="G122" s="2" t="s">
        <v>25</v>
      </c>
      <c r="H122" t="s">
        <v>90</v>
      </c>
      <c r="I122" s="3" t="s">
        <v>93</v>
      </c>
      <c r="J122" s="3" t="s">
        <v>94</v>
      </c>
      <c r="K122" s="4">
        <v>45814</v>
      </c>
      <c r="L122" t="s">
        <v>35</v>
      </c>
    </row>
    <row r="123" spans="1:12">
      <c r="A123" t="s">
        <v>88</v>
      </c>
      <c r="B123" t="s">
        <v>31</v>
      </c>
      <c r="C123" t="s">
        <v>30</v>
      </c>
      <c r="D123">
        <v>5</v>
      </c>
      <c r="E123" t="s">
        <v>15</v>
      </c>
      <c r="F123" s="8" t="s">
        <v>18</v>
      </c>
      <c r="G123" s="2" t="s">
        <v>25</v>
      </c>
      <c r="H123" t="s">
        <v>90</v>
      </c>
      <c r="I123" s="3" t="s">
        <v>93</v>
      </c>
      <c r="J123" s="3" t="s">
        <v>94</v>
      </c>
      <c r="K123" s="4">
        <v>45814</v>
      </c>
      <c r="L123" t="s">
        <v>35</v>
      </c>
    </row>
    <row r="124" spans="1:12">
      <c r="A124" t="s">
        <v>88</v>
      </c>
      <c r="B124" t="s">
        <v>33</v>
      </c>
      <c r="C124" t="s">
        <v>32</v>
      </c>
      <c r="D124">
        <v>1</v>
      </c>
      <c r="E124" t="s">
        <v>15</v>
      </c>
      <c r="F124" s="8" t="s">
        <v>17</v>
      </c>
      <c r="G124" s="2" t="s">
        <v>23</v>
      </c>
      <c r="H124" t="s">
        <v>90</v>
      </c>
      <c r="I124" s="3" t="s">
        <v>90</v>
      </c>
      <c r="J124" s="3" t="s">
        <v>90</v>
      </c>
      <c r="K124" s="4">
        <v>45814</v>
      </c>
      <c r="L124" t="s">
        <v>35</v>
      </c>
    </row>
    <row r="125" spans="1:12">
      <c r="A125" t="s">
        <v>88</v>
      </c>
      <c r="B125" t="s">
        <v>33</v>
      </c>
      <c r="C125" t="s">
        <v>32</v>
      </c>
      <c r="D125">
        <v>2</v>
      </c>
      <c r="E125" t="s">
        <v>15</v>
      </c>
      <c r="F125" s="8" t="s">
        <v>17</v>
      </c>
      <c r="G125" s="2" t="s">
        <v>23</v>
      </c>
      <c r="H125" t="s">
        <v>90</v>
      </c>
      <c r="I125" s="3" t="s">
        <v>90</v>
      </c>
      <c r="J125" s="3" t="s">
        <v>90</v>
      </c>
      <c r="K125" s="4">
        <v>45814</v>
      </c>
      <c r="L125" t="s">
        <v>35</v>
      </c>
    </row>
    <row r="126" spans="1:12">
      <c r="A126" t="s">
        <v>88</v>
      </c>
      <c r="B126" t="s">
        <v>33</v>
      </c>
      <c r="C126" t="s">
        <v>32</v>
      </c>
      <c r="D126">
        <v>3</v>
      </c>
      <c r="E126" t="s">
        <v>15</v>
      </c>
      <c r="F126" s="8" t="s">
        <v>17</v>
      </c>
      <c r="G126" s="2" t="s">
        <v>23</v>
      </c>
      <c r="H126" t="s">
        <v>90</v>
      </c>
      <c r="I126" s="3" t="s">
        <v>90</v>
      </c>
      <c r="J126" s="3" t="s">
        <v>90</v>
      </c>
      <c r="K126" s="4">
        <v>45814</v>
      </c>
      <c r="L126" t="s">
        <v>35</v>
      </c>
    </row>
    <row r="127" spans="1:12">
      <c r="A127" t="s">
        <v>95</v>
      </c>
      <c r="B127" t="s">
        <v>13</v>
      </c>
      <c r="C127" t="s">
        <v>12</v>
      </c>
      <c r="D127">
        <v>1</v>
      </c>
      <c r="E127" t="s">
        <v>14</v>
      </c>
      <c r="F127" s="8" t="s">
        <v>16</v>
      </c>
      <c r="G127" s="2" t="s">
        <v>22</v>
      </c>
      <c r="H127">
        <f>(AVERAGE(33.6,39.7))</f>
        <v>36.650000000000006</v>
      </c>
      <c r="I127" t="s">
        <v>99</v>
      </c>
      <c r="J127" t="s">
        <v>100</v>
      </c>
      <c r="K127" s="4">
        <v>45814</v>
      </c>
      <c r="L127" t="s">
        <v>35</v>
      </c>
    </row>
    <row r="128" spans="1:12">
      <c r="A128" t="s">
        <v>95</v>
      </c>
      <c r="B128" t="s">
        <v>13</v>
      </c>
      <c r="C128" t="s">
        <v>12</v>
      </c>
      <c r="D128">
        <v>6</v>
      </c>
      <c r="E128" t="s">
        <v>15</v>
      </c>
      <c r="F128" s="8" t="s">
        <v>44</v>
      </c>
      <c r="G128" s="2" t="s">
        <v>25</v>
      </c>
      <c r="H128">
        <f t="shared" ref="H128:H132" si="9">(AVERAGE(33.6,39.7))</f>
        <v>36.650000000000006</v>
      </c>
      <c r="I128" t="s">
        <v>99</v>
      </c>
      <c r="J128" t="s">
        <v>100</v>
      </c>
      <c r="K128" s="4">
        <v>45814</v>
      </c>
      <c r="L128" t="s">
        <v>35</v>
      </c>
    </row>
    <row r="129" spans="1:12">
      <c r="A129" t="s">
        <v>95</v>
      </c>
      <c r="B129" t="s">
        <v>13</v>
      </c>
      <c r="C129" t="s">
        <v>12</v>
      </c>
      <c r="D129">
        <v>7</v>
      </c>
      <c r="E129" t="s">
        <v>15</v>
      </c>
      <c r="F129" s="8" t="s">
        <v>17</v>
      </c>
      <c r="G129" s="2" t="s">
        <v>23</v>
      </c>
      <c r="H129">
        <f t="shared" si="9"/>
        <v>36.650000000000006</v>
      </c>
      <c r="I129" t="s">
        <v>99</v>
      </c>
      <c r="J129" t="s">
        <v>100</v>
      </c>
      <c r="K129" s="4">
        <v>45814</v>
      </c>
      <c r="L129" t="s">
        <v>35</v>
      </c>
    </row>
    <row r="130" spans="1:12">
      <c r="A130" t="s">
        <v>95</v>
      </c>
      <c r="B130" t="s">
        <v>13</v>
      </c>
      <c r="C130" t="s">
        <v>12</v>
      </c>
      <c r="D130">
        <v>8</v>
      </c>
      <c r="E130" t="s">
        <v>15</v>
      </c>
      <c r="F130" s="8" t="s">
        <v>17</v>
      </c>
      <c r="G130" s="2" t="s">
        <v>23</v>
      </c>
      <c r="H130">
        <f t="shared" si="9"/>
        <v>36.650000000000006</v>
      </c>
      <c r="I130" t="s">
        <v>99</v>
      </c>
      <c r="J130" t="s">
        <v>100</v>
      </c>
      <c r="K130" s="4">
        <v>45814</v>
      </c>
      <c r="L130" t="s">
        <v>35</v>
      </c>
    </row>
    <row r="131" spans="1:12">
      <c r="A131" t="s">
        <v>95</v>
      </c>
      <c r="B131" t="s">
        <v>13</v>
      </c>
      <c r="C131" t="s">
        <v>12</v>
      </c>
      <c r="D131">
        <v>9</v>
      </c>
      <c r="E131" t="s">
        <v>15</v>
      </c>
      <c r="F131" s="8" t="s">
        <v>17</v>
      </c>
      <c r="G131" s="2" t="s">
        <v>23</v>
      </c>
      <c r="H131">
        <f t="shared" si="9"/>
        <v>36.650000000000006</v>
      </c>
      <c r="I131" t="s">
        <v>99</v>
      </c>
      <c r="J131" t="s">
        <v>100</v>
      </c>
      <c r="K131" s="4">
        <v>45814</v>
      </c>
      <c r="L131" t="s">
        <v>35</v>
      </c>
    </row>
    <row r="132" spans="1:12">
      <c r="A132" t="s">
        <v>95</v>
      </c>
      <c r="B132" t="s">
        <v>13</v>
      </c>
      <c r="C132" t="s">
        <v>12</v>
      </c>
      <c r="D132">
        <v>10</v>
      </c>
      <c r="E132" t="s">
        <v>15</v>
      </c>
      <c r="F132" s="8" t="s">
        <v>17</v>
      </c>
      <c r="G132" s="2" t="s">
        <v>23</v>
      </c>
      <c r="H132">
        <f t="shared" si="9"/>
        <v>36.650000000000006</v>
      </c>
      <c r="I132" t="s">
        <v>99</v>
      </c>
      <c r="J132" t="s">
        <v>100</v>
      </c>
      <c r="K132" s="4">
        <v>45814</v>
      </c>
      <c r="L132" t="s">
        <v>35</v>
      </c>
    </row>
    <row r="133" spans="1:12">
      <c r="A133" t="s">
        <v>95</v>
      </c>
      <c r="B133" t="s">
        <v>31</v>
      </c>
      <c r="C133" t="s">
        <v>30</v>
      </c>
      <c r="D133">
        <v>1</v>
      </c>
      <c r="E133" t="s">
        <v>14</v>
      </c>
      <c r="F133" s="9" t="s">
        <v>74</v>
      </c>
      <c r="G133" s="2" t="s">
        <v>75</v>
      </c>
      <c r="H133">
        <f>AVERAGE(37.5,39.4)</f>
        <v>38.450000000000003</v>
      </c>
      <c r="I133" s="3" t="s">
        <v>101</v>
      </c>
      <c r="J133" s="3" t="s">
        <v>100</v>
      </c>
      <c r="K133" s="4">
        <v>45814</v>
      </c>
      <c r="L133" t="s">
        <v>35</v>
      </c>
    </row>
    <row r="134" spans="1:12">
      <c r="A134" t="s">
        <v>95</v>
      </c>
      <c r="B134" t="s">
        <v>31</v>
      </c>
      <c r="C134" t="s">
        <v>30</v>
      </c>
      <c r="D134">
        <v>2</v>
      </c>
      <c r="E134" t="s">
        <v>14</v>
      </c>
      <c r="F134" s="11" t="s">
        <v>19</v>
      </c>
      <c r="G134" s="2" t="s">
        <v>25</v>
      </c>
      <c r="H134">
        <f t="shared" ref="H134:H149" si="10">AVERAGE(37.5,39.4)</f>
        <v>38.450000000000003</v>
      </c>
      <c r="I134" s="3" t="s">
        <v>101</v>
      </c>
      <c r="J134" s="3" t="s">
        <v>100</v>
      </c>
      <c r="K134" s="4">
        <v>45814</v>
      </c>
      <c r="L134" t="s">
        <v>35</v>
      </c>
    </row>
    <row r="135" spans="1:12">
      <c r="A135" t="s">
        <v>95</v>
      </c>
      <c r="B135" t="s">
        <v>31</v>
      </c>
      <c r="C135" t="s">
        <v>30</v>
      </c>
      <c r="D135">
        <v>3</v>
      </c>
      <c r="E135" t="s">
        <v>15</v>
      </c>
      <c r="F135" s="11" t="s">
        <v>17</v>
      </c>
      <c r="G135" s="2" t="s">
        <v>23</v>
      </c>
      <c r="H135">
        <f t="shared" si="10"/>
        <v>38.450000000000003</v>
      </c>
      <c r="I135" s="3" t="s">
        <v>101</v>
      </c>
      <c r="J135" s="3" t="s">
        <v>100</v>
      </c>
      <c r="K135" s="4">
        <v>45814</v>
      </c>
      <c r="L135" t="s">
        <v>35</v>
      </c>
    </row>
    <row r="136" spans="1:12">
      <c r="A136" t="s">
        <v>95</v>
      </c>
      <c r="B136" t="s">
        <v>31</v>
      </c>
      <c r="C136" t="s">
        <v>30</v>
      </c>
      <c r="D136">
        <v>4</v>
      </c>
      <c r="E136" t="s">
        <v>15</v>
      </c>
      <c r="F136" s="11" t="s">
        <v>17</v>
      </c>
      <c r="G136" s="2" t="s">
        <v>23</v>
      </c>
      <c r="H136">
        <f t="shared" si="10"/>
        <v>38.450000000000003</v>
      </c>
      <c r="I136" s="3" t="s">
        <v>101</v>
      </c>
      <c r="J136" s="3" t="s">
        <v>100</v>
      </c>
      <c r="K136" s="4">
        <v>45814</v>
      </c>
      <c r="L136" t="s">
        <v>35</v>
      </c>
    </row>
    <row r="137" spans="1:12">
      <c r="A137" t="s">
        <v>95</v>
      </c>
      <c r="B137" t="s">
        <v>31</v>
      </c>
      <c r="C137" t="s">
        <v>30</v>
      </c>
      <c r="D137">
        <v>5</v>
      </c>
      <c r="E137" t="s">
        <v>15</v>
      </c>
      <c r="F137" s="11" t="s">
        <v>18</v>
      </c>
      <c r="G137" s="2" t="s">
        <v>25</v>
      </c>
      <c r="H137">
        <f t="shared" si="10"/>
        <v>38.450000000000003</v>
      </c>
      <c r="I137" s="3" t="s">
        <v>101</v>
      </c>
      <c r="J137" s="3" t="s">
        <v>100</v>
      </c>
      <c r="K137" s="4">
        <v>45814</v>
      </c>
      <c r="L137" t="s">
        <v>35</v>
      </c>
    </row>
    <row r="138" spans="1:12">
      <c r="A138" t="s">
        <v>95</v>
      </c>
      <c r="B138" t="s">
        <v>31</v>
      </c>
      <c r="C138" t="s">
        <v>30</v>
      </c>
      <c r="D138">
        <v>6</v>
      </c>
      <c r="E138" t="s">
        <v>15</v>
      </c>
      <c r="F138" s="11" t="s">
        <v>17</v>
      </c>
      <c r="G138" s="2" t="s">
        <v>23</v>
      </c>
      <c r="H138">
        <f t="shared" si="10"/>
        <v>38.450000000000003</v>
      </c>
      <c r="I138" s="3" t="s">
        <v>101</v>
      </c>
      <c r="J138" s="3" t="s">
        <v>100</v>
      </c>
      <c r="K138" s="4">
        <v>45814</v>
      </c>
      <c r="L138" t="s">
        <v>35</v>
      </c>
    </row>
    <row r="139" spans="1:12">
      <c r="A139" t="s">
        <v>95</v>
      </c>
      <c r="B139" t="s">
        <v>31</v>
      </c>
      <c r="C139" t="s">
        <v>30</v>
      </c>
      <c r="D139">
        <v>7</v>
      </c>
      <c r="E139" t="s">
        <v>15</v>
      </c>
      <c r="F139" s="11" t="s">
        <v>17</v>
      </c>
      <c r="G139" s="2" t="s">
        <v>23</v>
      </c>
      <c r="H139">
        <f t="shared" si="10"/>
        <v>38.450000000000003</v>
      </c>
      <c r="I139" s="3" t="s">
        <v>101</v>
      </c>
      <c r="J139" s="3" t="s">
        <v>100</v>
      </c>
      <c r="K139" s="4">
        <v>45814</v>
      </c>
      <c r="L139" t="s">
        <v>35</v>
      </c>
    </row>
    <row r="140" spans="1:12">
      <c r="A140" t="s">
        <v>95</v>
      </c>
      <c r="B140" t="s">
        <v>31</v>
      </c>
      <c r="C140" t="s">
        <v>30</v>
      </c>
      <c r="D140">
        <v>8</v>
      </c>
      <c r="E140" t="s">
        <v>15</v>
      </c>
      <c r="F140" s="11" t="s">
        <v>17</v>
      </c>
      <c r="G140" s="2" t="s">
        <v>23</v>
      </c>
      <c r="H140">
        <f t="shared" si="10"/>
        <v>38.450000000000003</v>
      </c>
      <c r="I140" s="3" t="s">
        <v>101</v>
      </c>
      <c r="J140" s="3" t="s">
        <v>100</v>
      </c>
      <c r="K140" s="4">
        <v>45814</v>
      </c>
      <c r="L140" t="s">
        <v>35</v>
      </c>
    </row>
    <row r="141" spans="1:12">
      <c r="A141" t="s">
        <v>95</v>
      </c>
      <c r="B141" t="s">
        <v>31</v>
      </c>
      <c r="C141" t="s">
        <v>30</v>
      </c>
      <c r="D141">
        <v>9</v>
      </c>
      <c r="E141" t="s">
        <v>15</v>
      </c>
      <c r="F141" s="11" t="s">
        <v>17</v>
      </c>
      <c r="G141" s="2" t="s">
        <v>23</v>
      </c>
      <c r="H141">
        <f t="shared" si="10"/>
        <v>38.450000000000003</v>
      </c>
      <c r="I141" s="3" t="s">
        <v>101</v>
      </c>
      <c r="J141" s="3" t="s">
        <v>100</v>
      </c>
      <c r="K141" s="4">
        <v>45814</v>
      </c>
      <c r="L141" t="s">
        <v>35</v>
      </c>
    </row>
    <row r="142" spans="1:12">
      <c r="A142" t="s">
        <v>95</v>
      </c>
      <c r="B142" t="s">
        <v>31</v>
      </c>
      <c r="C142" t="s">
        <v>30</v>
      </c>
      <c r="D142">
        <v>10</v>
      </c>
      <c r="E142" t="s">
        <v>15</v>
      </c>
      <c r="F142" s="11" t="s">
        <v>96</v>
      </c>
      <c r="G142" s="2" t="s">
        <v>38</v>
      </c>
      <c r="H142">
        <f t="shared" si="10"/>
        <v>38.450000000000003</v>
      </c>
      <c r="I142" s="3" t="s">
        <v>101</v>
      </c>
      <c r="J142" s="3" t="s">
        <v>100</v>
      </c>
      <c r="K142" s="4">
        <v>45814</v>
      </c>
      <c r="L142" t="s">
        <v>35</v>
      </c>
    </row>
    <row r="143" spans="1:12">
      <c r="A143" t="s">
        <v>95</v>
      </c>
      <c r="B143" t="s">
        <v>31</v>
      </c>
      <c r="C143" t="s">
        <v>30</v>
      </c>
      <c r="D143">
        <v>11</v>
      </c>
      <c r="E143" t="s">
        <v>15</v>
      </c>
      <c r="F143" s="11" t="s">
        <v>44</v>
      </c>
      <c r="G143" s="2" t="s">
        <v>25</v>
      </c>
      <c r="H143">
        <f t="shared" si="10"/>
        <v>38.450000000000003</v>
      </c>
      <c r="I143" s="3" t="s">
        <v>101</v>
      </c>
      <c r="J143" s="3" t="s">
        <v>100</v>
      </c>
      <c r="K143" s="4">
        <v>45814</v>
      </c>
      <c r="L143" t="s">
        <v>35</v>
      </c>
    </row>
    <row r="144" spans="1:12">
      <c r="A144" t="s">
        <v>95</v>
      </c>
      <c r="B144" t="s">
        <v>31</v>
      </c>
      <c r="C144" t="s">
        <v>30</v>
      </c>
      <c r="D144">
        <v>13</v>
      </c>
      <c r="E144" t="s">
        <v>15</v>
      </c>
      <c r="F144" s="11" t="s">
        <v>97</v>
      </c>
      <c r="G144" s="2" t="s">
        <v>23</v>
      </c>
      <c r="H144">
        <f t="shared" si="10"/>
        <v>38.450000000000003</v>
      </c>
      <c r="I144" s="3" t="s">
        <v>101</v>
      </c>
      <c r="J144" s="3" t="s">
        <v>100</v>
      </c>
      <c r="K144" s="4">
        <v>45814</v>
      </c>
      <c r="L144" t="s">
        <v>35</v>
      </c>
    </row>
    <row r="145" spans="1:12">
      <c r="A145" t="s">
        <v>95</v>
      </c>
      <c r="B145" t="s">
        <v>31</v>
      </c>
      <c r="C145" t="s">
        <v>30</v>
      </c>
      <c r="D145">
        <v>14</v>
      </c>
      <c r="E145" t="s">
        <v>15</v>
      </c>
      <c r="F145" s="11" t="s">
        <v>18</v>
      </c>
      <c r="G145" s="2" t="s">
        <v>25</v>
      </c>
      <c r="H145">
        <f t="shared" si="10"/>
        <v>38.450000000000003</v>
      </c>
      <c r="I145" s="3" t="s">
        <v>101</v>
      </c>
      <c r="J145" s="3" t="s">
        <v>100</v>
      </c>
      <c r="K145" s="4">
        <v>45814</v>
      </c>
      <c r="L145" t="s">
        <v>35</v>
      </c>
    </row>
    <row r="146" spans="1:12">
      <c r="A146" t="s">
        <v>95</v>
      </c>
      <c r="B146" t="s">
        <v>31</v>
      </c>
      <c r="C146" t="s">
        <v>30</v>
      </c>
      <c r="D146">
        <v>15</v>
      </c>
      <c r="E146" t="s">
        <v>15</v>
      </c>
      <c r="F146" s="11" t="s">
        <v>98</v>
      </c>
      <c r="G146" s="2" t="s">
        <v>75</v>
      </c>
      <c r="H146">
        <f t="shared" si="10"/>
        <v>38.450000000000003</v>
      </c>
      <c r="I146" s="3" t="s">
        <v>101</v>
      </c>
      <c r="J146" s="3" t="s">
        <v>100</v>
      </c>
      <c r="K146" s="4">
        <v>45814</v>
      </c>
      <c r="L146" t="s">
        <v>35</v>
      </c>
    </row>
    <row r="147" spans="1:12">
      <c r="A147" t="s">
        <v>95</v>
      </c>
      <c r="B147" t="s">
        <v>31</v>
      </c>
      <c r="C147" t="s">
        <v>30</v>
      </c>
      <c r="D147">
        <v>16</v>
      </c>
      <c r="E147" t="s">
        <v>15</v>
      </c>
      <c r="F147" s="11" t="s">
        <v>17</v>
      </c>
      <c r="G147" s="2" t="s">
        <v>23</v>
      </c>
      <c r="H147">
        <f t="shared" si="10"/>
        <v>38.450000000000003</v>
      </c>
      <c r="I147" s="3" t="s">
        <v>101</v>
      </c>
      <c r="J147" s="3" t="s">
        <v>100</v>
      </c>
      <c r="K147" s="4">
        <v>45814</v>
      </c>
      <c r="L147" t="s">
        <v>35</v>
      </c>
    </row>
    <row r="148" spans="1:12">
      <c r="A148" t="s">
        <v>95</v>
      </c>
      <c r="B148" t="s">
        <v>31</v>
      </c>
      <c r="C148" t="s">
        <v>30</v>
      </c>
      <c r="D148">
        <v>17</v>
      </c>
      <c r="E148" t="s">
        <v>15</v>
      </c>
      <c r="F148" s="11" t="s">
        <v>17</v>
      </c>
      <c r="G148" s="2" t="s">
        <v>23</v>
      </c>
      <c r="H148">
        <f t="shared" si="10"/>
        <v>38.450000000000003</v>
      </c>
      <c r="I148" s="3" t="s">
        <v>101</v>
      </c>
      <c r="J148" s="3" t="s">
        <v>100</v>
      </c>
      <c r="K148" s="4">
        <v>45814</v>
      </c>
      <c r="L148" t="s">
        <v>35</v>
      </c>
    </row>
    <row r="149" spans="1:12">
      <c r="A149" t="s">
        <v>95</v>
      </c>
      <c r="B149" t="s">
        <v>31</v>
      </c>
      <c r="C149" t="s">
        <v>30</v>
      </c>
      <c r="D149">
        <v>20</v>
      </c>
      <c r="E149" t="s">
        <v>15</v>
      </c>
      <c r="F149" s="12" t="s">
        <v>81</v>
      </c>
      <c r="G149" s="2" t="s">
        <v>23</v>
      </c>
      <c r="H149">
        <f t="shared" si="10"/>
        <v>38.450000000000003</v>
      </c>
      <c r="I149" s="3" t="s">
        <v>101</v>
      </c>
      <c r="J149" s="3" t="s">
        <v>100</v>
      </c>
      <c r="K149" s="4">
        <v>45814</v>
      </c>
      <c r="L149" t="s">
        <v>35</v>
      </c>
    </row>
    <row r="150" spans="1:12">
      <c r="A150" t="s">
        <v>95</v>
      </c>
      <c r="B150" t="s">
        <v>33</v>
      </c>
      <c r="C150" t="s">
        <v>32</v>
      </c>
      <c r="D150">
        <v>1</v>
      </c>
      <c r="E150" t="s">
        <v>15</v>
      </c>
      <c r="F150" s="8" t="s">
        <v>17</v>
      </c>
      <c r="G150" s="2" t="s">
        <v>23</v>
      </c>
      <c r="H150">
        <f>AVERAGE(34.3,36.7)</f>
        <v>35.5</v>
      </c>
      <c r="I150" s="3" t="s">
        <v>102</v>
      </c>
      <c r="J150" s="3" t="s">
        <v>103</v>
      </c>
      <c r="K150" s="4">
        <v>45814</v>
      </c>
      <c r="L150" t="s">
        <v>35</v>
      </c>
    </row>
    <row r="151" spans="1:12">
      <c r="A151" t="s">
        <v>95</v>
      </c>
      <c r="B151" t="s">
        <v>33</v>
      </c>
      <c r="C151" t="s">
        <v>32</v>
      </c>
      <c r="D151">
        <v>2</v>
      </c>
      <c r="E151" t="s">
        <v>15</v>
      </c>
      <c r="F151" s="8" t="s">
        <v>20</v>
      </c>
      <c r="G151" s="2" t="s">
        <v>26</v>
      </c>
      <c r="H151">
        <f t="shared" ref="H151:H162" si="11">AVERAGE(34.3,36.7)</f>
        <v>35.5</v>
      </c>
      <c r="I151" s="3" t="s">
        <v>102</v>
      </c>
      <c r="J151" s="3" t="s">
        <v>103</v>
      </c>
      <c r="K151" s="4">
        <v>45814</v>
      </c>
      <c r="L151" t="s">
        <v>35</v>
      </c>
    </row>
    <row r="152" spans="1:12">
      <c r="A152" t="s">
        <v>95</v>
      </c>
      <c r="B152" t="s">
        <v>33</v>
      </c>
      <c r="C152" t="s">
        <v>32</v>
      </c>
      <c r="D152">
        <v>3</v>
      </c>
      <c r="E152" t="s">
        <v>15</v>
      </c>
      <c r="F152" s="8" t="s">
        <v>17</v>
      </c>
      <c r="G152" s="2" t="s">
        <v>23</v>
      </c>
      <c r="H152">
        <f t="shared" si="11"/>
        <v>35.5</v>
      </c>
      <c r="I152" s="3" t="s">
        <v>102</v>
      </c>
      <c r="J152" s="3" t="s">
        <v>103</v>
      </c>
      <c r="K152" s="4">
        <v>45814</v>
      </c>
      <c r="L152" t="s">
        <v>35</v>
      </c>
    </row>
    <row r="153" spans="1:12">
      <c r="A153" t="s">
        <v>95</v>
      </c>
      <c r="B153" t="s">
        <v>33</v>
      </c>
      <c r="C153" t="s">
        <v>32</v>
      </c>
      <c r="D153">
        <v>4</v>
      </c>
      <c r="E153" t="s">
        <v>15</v>
      </c>
      <c r="F153" s="8" t="s">
        <v>17</v>
      </c>
      <c r="G153" s="2" t="s">
        <v>23</v>
      </c>
      <c r="H153">
        <f t="shared" si="11"/>
        <v>35.5</v>
      </c>
      <c r="I153" s="3" t="s">
        <v>102</v>
      </c>
      <c r="J153" s="3" t="s">
        <v>103</v>
      </c>
      <c r="K153" s="4">
        <v>45814</v>
      </c>
      <c r="L153" t="s">
        <v>35</v>
      </c>
    </row>
    <row r="154" spans="1:12">
      <c r="A154" t="s">
        <v>95</v>
      </c>
      <c r="B154" t="s">
        <v>33</v>
      </c>
      <c r="C154" t="s">
        <v>32</v>
      </c>
      <c r="D154">
        <v>5</v>
      </c>
      <c r="E154" t="s">
        <v>15</v>
      </c>
      <c r="F154" s="8" t="s">
        <v>17</v>
      </c>
      <c r="G154" s="2" t="s">
        <v>23</v>
      </c>
      <c r="H154">
        <f t="shared" si="11"/>
        <v>35.5</v>
      </c>
      <c r="I154" s="3" t="s">
        <v>102</v>
      </c>
      <c r="J154" s="3" t="s">
        <v>103</v>
      </c>
      <c r="K154" s="4">
        <v>45814</v>
      </c>
      <c r="L154" t="s">
        <v>35</v>
      </c>
    </row>
    <row r="155" spans="1:12">
      <c r="A155" t="s">
        <v>95</v>
      </c>
      <c r="B155" t="s">
        <v>33</v>
      </c>
      <c r="C155" t="s">
        <v>32</v>
      </c>
      <c r="D155">
        <v>6</v>
      </c>
      <c r="E155" t="s">
        <v>15</v>
      </c>
      <c r="F155" s="8" t="s">
        <v>17</v>
      </c>
      <c r="G155" s="2" t="s">
        <v>23</v>
      </c>
      <c r="H155">
        <f t="shared" si="11"/>
        <v>35.5</v>
      </c>
      <c r="I155" s="3" t="s">
        <v>102</v>
      </c>
      <c r="J155" s="3" t="s">
        <v>103</v>
      </c>
      <c r="K155" s="4">
        <v>45814</v>
      </c>
      <c r="L155" t="s">
        <v>35</v>
      </c>
    </row>
    <row r="156" spans="1:12">
      <c r="A156" t="s">
        <v>95</v>
      </c>
      <c r="B156" t="s">
        <v>33</v>
      </c>
      <c r="C156" t="s">
        <v>32</v>
      </c>
      <c r="D156">
        <v>7</v>
      </c>
      <c r="E156" t="s">
        <v>15</v>
      </c>
      <c r="F156" s="8" t="s">
        <v>17</v>
      </c>
      <c r="G156" s="2" t="s">
        <v>23</v>
      </c>
      <c r="H156">
        <f t="shared" si="11"/>
        <v>35.5</v>
      </c>
      <c r="I156" s="3" t="s">
        <v>102</v>
      </c>
      <c r="J156" s="3" t="s">
        <v>103</v>
      </c>
      <c r="K156" s="4">
        <v>45814</v>
      </c>
      <c r="L156" t="s">
        <v>35</v>
      </c>
    </row>
    <row r="157" spans="1:12">
      <c r="A157" t="s">
        <v>95</v>
      </c>
      <c r="B157" t="s">
        <v>33</v>
      </c>
      <c r="C157" t="s">
        <v>32</v>
      </c>
      <c r="D157">
        <v>8</v>
      </c>
      <c r="E157" t="s">
        <v>15</v>
      </c>
      <c r="F157" s="8" t="s">
        <v>17</v>
      </c>
      <c r="G157" s="2" t="s">
        <v>23</v>
      </c>
      <c r="H157">
        <f t="shared" si="11"/>
        <v>35.5</v>
      </c>
      <c r="I157" s="3" t="s">
        <v>102</v>
      </c>
      <c r="J157" s="3" t="s">
        <v>103</v>
      </c>
      <c r="K157" s="4">
        <v>45814</v>
      </c>
      <c r="L157" t="s">
        <v>35</v>
      </c>
    </row>
    <row r="158" spans="1:12">
      <c r="A158" t="s">
        <v>95</v>
      </c>
      <c r="B158" t="s">
        <v>33</v>
      </c>
      <c r="C158" t="s">
        <v>32</v>
      </c>
      <c r="D158">
        <v>9</v>
      </c>
      <c r="E158" t="s">
        <v>15</v>
      </c>
      <c r="F158" s="8" t="s">
        <v>17</v>
      </c>
      <c r="G158" s="2" t="s">
        <v>23</v>
      </c>
      <c r="H158">
        <f t="shared" si="11"/>
        <v>35.5</v>
      </c>
      <c r="I158" s="3" t="s">
        <v>102</v>
      </c>
      <c r="J158" s="3" t="s">
        <v>103</v>
      </c>
      <c r="K158" s="4">
        <v>45814</v>
      </c>
      <c r="L158" t="s">
        <v>35</v>
      </c>
    </row>
    <row r="159" spans="1:12">
      <c r="A159" t="s">
        <v>95</v>
      </c>
      <c r="B159" t="s">
        <v>33</v>
      </c>
      <c r="C159" t="s">
        <v>32</v>
      </c>
      <c r="D159">
        <v>10</v>
      </c>
      <c r="E159" t="s">
        <v>15</v>
      </c>
      <c r="F159" s="8" t="s">
        <v>17</v>
      </c>
      <c r="G159" s="2" t="s">
        <v>23</v>
      </c>
      <c r="H159">
        <f t="shared" si="11"/>
        <v>35.5</v>
      </c>
      <c r="I159" s="3" t="s">
        <v>102</v>
      </c>
      <c r="J159" s="3" t="s">
        <v>103</v>
      </c>
      <c r="K159" s="4">
        <v>45814</v>
      </c>
      <c r="L159" t="s">
        <v>35</v>
      </c>
    </row>
    <row r="160" spans="1:12">
      <c r="A160" t="s">
        <v>95</v>
      </c>
      <c r="B160" t="s">
        <v>33</v>
      </c>
      <c r="C160" t="s">
        <v>32</v>
      </c>
      <c r="D160">
        <v>11</v>
      </c>
      <c r="E160" t="s">
        <v>15</v>
      </c>
      <c r="F160" s="8" t="s">
        <v>17</v>
      </c>
      <c r="G160" s="2" t="s">
        <v>23</v>
      </c>
      <c r="H160">
        <f t="shared" si="11"/>
        <v>35.5</v>
      </c>
      <c r="I160" s="3" t="s">
        <v>102</v>
      </c>
      <c r="J160" s="3" t="s">
        <v>103</v>
      </c>
      <c r="K160" s="4">
        <v>45814</v>
      </c>
      <c r="L160" t="s">
        <v>35</v>
      </c>
    </row>
    <row r="161" spans="1:12">
      <c r="A161" t="s">
        <v>95</v>
      </c>
      <c r="B161" t="s">
        <v>33</v>
      </c>
      <c r="C161" t="s">
        <v>32</v>
      </c>
      <c r="D161">
        <v>12</v>
      </c>
      <c r="E161" t="s">
        <v>15</v>
      </c>
      <c r="F161" s="8" t="s">
        <v>17</v>
      </c>
      <c r="G161" s="2" t="s">
        <v>23</v>
      </c>
      <c r="H161">
        <f t="shared" si="11"/>
        <v>35.5</v>
      </c>
      <c r="I161" s="3" t="s">
        <v>102</v>
      </c>
      <c r="J161" s="3" t="s">
        <v>103</v>
      </c>
      <c r="K161" s="4">
        <v>45814</v>
      </c>
      <c r="L161" t="s">
        <v>35</v>
      </c>
    </row>
    <row r="162" spans="1:12">
      <c r="A162" t="s">
        <v>95</v>
      </c>
      <c r="B162" t="s">
        <v>33</v>
      </c>
      <c r="C162" t="s">
        <v>32</v>
      </c>
      <c r="D162">
        <v>13</v>
      </c>
      <c r="E162" t="s">
        <v>15</v>
      </c>
      <c r="F162" s="8" t="s">
        <v>17</v>
      </c>
      <c r="G162" s="2" t="s">
        <v>23</v>
      </c>
      <c r="H162">
        <f t="shared" si="11"/>
        <v>35.5</v>
      </c>
      <c r="I162" s="3" t="s">
        <v>102</v>
      </c>
      <c r="J162" s="3" t="s">
        <v>103</v>
      </c>
      <c r="K162" s="4">
        <v>45814</v>
      </c>
      <c r="L162" t="s">
        <v>35</v>
      </c>
    </row>
    <row r="163" spans="1:12">
      <c r="A163" t="s">
        <v>104</v>
      </c>
      <c r="B163" t="s">
        <v>13</v>
      </c>
      <c r="C163" t="s">
        <v>12</v>
      </c>
      <c r="D163">
        <v>1</v>
      </c>
      <c r="E163" t="s">
        <v>14</v>
      </c>
      <c r="F163" s="8" t="s">
        <v>105</v>
      </c>
      <c r="G163" s="2" t="s">
        <v>22</v>
      </c>
      <c r="H163">
        <f>AVERAGE(33,36.8)</f>
        <v>34.9</v>
      </c>
      <c r="I163" s="3" t="s">
        <v>90</v>
      </c>
      <c r="J163" s="3" t="s">
        <v>90</v>
      </c>
      <c r="K163" s="4">
        <v>45814</v>
      </c>
      <c r="L163" t="s">
        <v>35</v>
      </c>
    </row>
    <row r="164" spans="1:12">
      <c r="A164" t="s">
        <v>104</v>
      </c>
      <c r="B164" t="s">
        <v>13</v>
      </c>
      <c r="C164" t="s">
        <v>12</v>
      </c>
      <c r="D164">
        <v>2</v>
      </c>
      <c r="E164" t="s">
        <v>14</v>
      </c>
      <c r="F164" s="8" t="s">
        <v>21</v>
      </c>
      <c r="G164" s="2" t="s">
        <v>27</v>
      </c>
      <c r="H164">
        <f t="shared" ref="H164:H178" si="12">AVERAGE(33,36.8)</f>
        <v>34.9</v>
      </c>
      <c r="I164" s="3" t="s">
        <v>90</v>
      </c>
      <c r="J164" s="3" t="s">
        <v>90</v>
      </c>
      <c r="K164" s="4">
        <v>45814</v>
      </c>
      <c r="L164" t="s">
        <v>35</v>
      </c>
    </row>
    <row r="165" spans="1:12">
      <c r="A165" t="s">
        <v>104</v>
      </c>
      <c r="B165" t="s">
        <v>13</v>
      </c>
      <c r="C165" t="s">
        <v>12</v>
      </c>
      <c r="D165">
        <v>3</v>
      </c>
      <c r="E165" t="s">
        <v>15</v>
      </c>
      <c r="F165" s="8" t="s">
        <v>17</v>
      </c>
      <c r="G165" s="2" t="s">
        <v>23</v>
      </c>
      <c r="H165">
        <f t="shared" si="12"/>
        <v>34.9</v>
      </c>
      <c r="I165" s="3" t="s">
        <v>90</v>
      </c>
      <c r="J165" s="3" t="s">
        <v>90</v>
      </c>
      <c r="K165" s="4">
        <v>45814</v>
      </c>
      <c r="L165" t="s">
        <v>35</v>
      </c>
    </row>
    <row r="166" spans="1:12">
      <c r="A166" t="s">
        <v>104</v>
      </c>
      <c r="B166" t="s">
        <v>13</v>
      </c>
      <c r="C166" t="s">
        <v>12</v>
      </c>
      <c r="D166">
        <v>4</v>
      </c>
      <c r="E166" t="s">
        <v>15</v>
      </c>
      <c r="F166" s="8" t="s">
        <v>18</v>
      </c>
      <c r="G166" s="2" t="s">
        <v>25</v>
      </c>
      <c r="H166">
        <f t="shared" si="12"/>
        <v>34.9</v>
      </c>
      <c r="I166" s="3" t="s">
        <v>90</v>
      </c>
      <c r="J166" s="3" t="s">
        <v>90</v>
      </c>
      <c r="K166" s="4">
        <v>45814</v>
      </c>
      <c r="L166" t="s">
        <v>35</v>
      </c>
    </row>
    <row r="167" spans="1:12">
      <c r="A167" t="s">
        <v>104</v>
      </c>
      <c r="B167" t="s">
        <v>13</v>
      </c>
      <c r="C167" t="s">
        <v>12</v>
      </c>
      <c r="D167">
        <v>5</v>
      </c>
      <c r="E167" t="s">
        <v>15</v>
      </c>
      <c r="F167" s="8" t="s">
        <v>20</v>
      </c>
      <c r="G167" s="2" t="s">
        <v>26</v>
      </c>
      <c r="H167">
        <f t="shared" si="12"/>
        <v>34.9</v>
      </c>
      <c r="I167" s="3" t="s">
        <v>90</v>
      </c>
      <c r="J167" s="3" t="s">
        <v>90</v>
      </c>
      <c r="K167" s="4">
        <v>45814</v>
      </c>
      <c r="L167" t="s">
        <v>35</v>
      </c>
    </row>
    <row r="168" spans="1:12">
      <c r="A168" t="s">
        <v>104</v>
      </c>
      <c r="B168" t="s">
        <v>13</v>
      </c>
      <c r="C168" t="s">
        <v>12</v>
      </c>
      <c r="D168">
        <v>6</v>
      </c>
      <c r="E168" t="s">
        <v>15</v>
      </c>
      <c r="F168" s="8" t="s">
        <v>19</v>
      </c>
      <c r="G168" s="2" t="s">
        <v>25</v>
      </c>
      <c r="H168">
        <f t="shared" si="12"/>
        <v>34.9</v>
      </c>
      <c r="I168" s="3" t="s">
        <v>90</v>
      </c>
      <c r="J168" s="3" t="s">
        <v>90</v>
      </c>
      <c r="K168" s="4">
        <v>45814</v>
      </c>
      <c r="L168" t="s">
        <v>35</v>
      </c>
    </row>
    <row r="169" spans="1:12">
      <c r="A169" t="s">
        <v>104</v>
      </c>
      <c r="B169" t="s">
        <v>13</v>
      </c>
      <c r="C169" t="s">
        <v>12</v>
      </c>
      <c r="D169">
        <v>7</v>
      </c>
      <c r="E169" t="s">
        <v>15</v>
      </c>
      <c r="F169" s="8" t="s">
        <v>17</v>
      </c>
      <c r="G169" s="2" t="s">
        <v>23</v>
      </c>
      <c r="H169">
        <f t="shared" si="12"/>
        <v>34.9</v>
      </c>
      <c r="I169" s="3" t="s">
        <v>90</v>
      </c>
      <c r="J169" s="3" t="s">
        <v>90</v>
      </c>
      <c r="K169" s="4">
        <v>45814</v>
      </c>
      <c r="L169" t="s">
        <v>35</v>
      </c>
    </row>
    <row r="170" spans="1:12">
      <c r="A170" t="s">
        <v>104</v>
      </c>
      <c r="B170" t="s">
        <v>13</v>
      </c>
      <c r="C170" t="s">
        <v>12</v>
      </c>
      <c r="D170">
        <v>8</v>
      </c>
      <c r="E170" t="s">
        <v>15</v>
      </c>
      <c r="F170" s="8" t="s">
        <v>106</v>
      </c>
      <c r="G170" s="2" t="s">
        <v>111</v>
      </c>
      <c r="H170">
        <f t="shared" si="12"/>
        <v>34.9</v>
      </c>
      <c r="I170" s="3" t="s">
        <v>90</v>
      </c>
      <c r="J170" s="3" t="s">
        <v>90</v>
      </c>
      <c r="K170" s="4">
        <v>45814</v>
      </c>
      <c r="L170" t="s">
        <v>35</v>
      </c>
    </row>
    <row r="171" spans="1:12">
      <c r="A171" t="s">
        <v>104</v>
      </c>
      <c r="B171" t="s">
        <v>13</v>
      </c>
      <c r="C171" t="s">
        <v>12</v>
      </c>
      <c r="D171">
        <v>9</v>
      </c>
      <c r="E171" t="s">
        <v>15</v>
      </c>
      <c r="F171" s="8" t="s">
        <v>107</v>
      </c>
      <c r="G171" s="2" t="s">
        <v>112</v>
      </c>
      <c r="H171">
        <f t="shared" si="12"/>
        <v>34.9</v>
      </c>
      <c r="I171" s="3" t="s">
        <v>90</v>
      </c>
      <c r="J171" s="3" t="s">
        <v>90</v>
      </c>
      <c r="K171" s="4">
        <v>45814</v>
      </c>
      <c r="L171" t="s">
        <v>35</v>
      </c>
    </row>
    <row r="172" spans="1:12">
      <c r="A172" t="s">
        <v>104</v>
      </c>
      <c r="B172" t="s">
        <v>13</v>
      </c>
      <c r="C172" t="s">
        <v>12</v>
      </c>
      <c r="D172">
        <v>10</v>
      </c>
      <c r="E172" t="s">
        <v>15</v>
      </c>
      <c r="F172" s="8" t="s">
        <v>20</v>
      </c>
      <c r="G172" s="2" t="s">
        <v>26</v>
      </c>
      <c r="H172">
        <f t="shared" si="12"/>
        <v>34.9</v>
      </c>
      <c r="I172" s="3" t="s">
        <v>90</v>
      </c>
      <c r="J172" s="3" t="s">
        <v>90</v>
      </c>
      <c r="K172" s="4">
        <v>45814</v>
      </c>
      <c r="L172" t="s">
        <v>35</v>
      </c>
    </row>
    <row r="173" spans="1:12">
      <c r="A173" t="s">
        <v>104</v>
      </c>
      <c r="B173" t="s">
        <v>13</v>
      </c>
      <c r="C173" t="s">
        <v>12</v>
      </c>
      <c r="D173">
        <v>11</v>
      </c>
      <c r="E173" t="s">
        <v>15</v>
      </c>
      <c r="F173" s="8" t="s">
        <v>108</v>
      </c>
      <c r="G173" s="2" t="s">
        <v>113</v>
      </c>
      <c r="H173">
        <f t="shared" si="12"/>
        <v>34.9</v>
      </c>
      <c r="I173" s="3" t="s">
        <v>90</v>
      </c>
      <c r="J173" s="3" t="s">
        <v>90</v>
      </c>
      <c r="K173" s="4">
        <v>45814</v>
      </c>
      <c r="L173" t="s">
        <v>35</v>
      </c>
    </row>
    <row r="174" spans="1:12">
      <c r="A174" t="s">
        <v>104</v>
      </c>
      <c r="B174" t="s">
        <v>13</v>
      </c>
      <c r="C174" t="s">
        <v>12</v>
      </c>
      <c r="D174">
        <v>12</v>
      </c>
      <c r="E174" t="s">
        <v>15</v>
      </c>
      <c r="F174" s="8" t="s">
        <v>17</v>
      </c>
      <c r="G174" s="2" t="s">
        <v>23</v>
      </c>
      <c r="H174">
        <f t="shared" si="12"/>
        <v>34.9</v>
      </c>
      <c r="I174" s="3" t="s">
        <v>90</v>
      </c>
      <c r="J174" s="3" t="s">
        <v>90</v>
      </c>
      <c r="K174" s="4">
        <v>45814</v>
      </c>
      <c r="L174" t="s">
        <v>35</v>
      </c>
    </row>
    <row r="175" spans="1:12">
      <c r="A175" t="s">
        <v>104</v>
      </c>
      <c r="B175" t="s">
        <v>13</v>
      </c>
      <c r="C175" t="s">
        <v>12</v>
      </c>
      <c r="D175">
        <v>13</v>
      </c>
      <c r="E175" t="s">
        <v>15</v>
      </c>
      <c r="F175" s="8" t="s">
        <v>19</v>
      </c>
      <c r="G175" s="2" t="s">
        <v>25</v>
      </c>
      <c r="H175">
        <f t="shared" si="12"/>
        <v>34.9</v>
      </c>
      <c r="I175" s="3" t="s">
        <v>90</v>
      </c>
      <c r="J175" s="3" t="s">
        <v>90</v>
      </c>
      <c r="K175" s="4">
        <v>45814</v>
      </c>
      <c r="L175" t="s">
        <v>35</v>
      </c>
    </row>
    <row r="176" spans="1:12">
      <c r="A176" t="s">
        <v>104</v>
      </c>
      <c r="B176" t="s">
        <v>13</v>
      </c>
      <c r="C176" t="s">
        <v>12</v>
      </c>
      <c r="D176">
        <v>14</v>
      </c>
      <c r="E176" t="s">
        <v>15</v>
      </c>
      <c r="F176" s="8" t="s">
        <v>20</v>
      </c>
      <c r="G176" s="2" t="s">
        <v>26</v>
      </c>
      <c r="H176">
        <f t="shared" si="12"/>
        <v>34.9</v>
      </c>
      <c r="I176" s="3" t="s">
        <v>90</v>
      </c>
      <c r="J176" s="3" t="s">
        <v>90</v>
      </c>
      <c r="K176" s="4">
        <v>45814</v>
      </c>
      <c r="L176" t="s">
        <v>35</v>
      </c>
    </row>
    <row r="177" spans="1:12">
      <c r="A177" t="s">
        <v>104</v>
      </c>
      <c r="B177" t="s">
        <v>13</v>
      </c>
      <c r="C177" t="s">
        <v>12</v>
      </c>
      <c r="D177">
        <v>15</v>
      </c>
      <c r="E177" t="s">
        <v>15</v>
      </c>
      <c r="F177" s="8" t="s">
        <v>44</v>
      </c>
      <c r="G177" s="2" t="s">
        <v>25</v>
      </c>
      <c r="H177">
        <f t="shared" si="12"/>
        <v>34.9</v>
      </c>
      <c r="I177" s="3" t="s">
        <v>90</v>
      </c>
      <c r="J177" s="3" t="s">
        <v>90</v>
      </c>
      <c r="K177" s="4">
        <v>45814</v>
      </c>
      <c r="L177" t="s">
        <v>35</v>
      </c>
    </row>
    <row r="178" spans="1:12">
      <c r="A178" t="s">
        <v>104</v>
      </c>
      <c r="B178" t="s">
        <v>13</v>
      </c>
      <c r="C178" t="s">
        <v>12</v>
      </c>
      <c r="D178">
        <v>16</v>
      </c>
      <c r="E178" t="s">
        <v>15</v>
      </c>
      <c r="F178" s="8" t="s">
        <v>44</v>
      </c>
      <c r="G178" s="2" t="s">
        <v>25</v>
      </c>
      <c r="H178">
        <f t="shared" si="12"/>
        <v>34.9</v>
      </c>
      <c r="I178" s="3" t="s">
        <v>90</v>
      </c>
      <c r="J178" s="3" t="s">
        <v>90</v>
      </c>
      <c r="K178" s="4">
        <v>45814</v>
      </c>
      <c r="L178" t="s">
        <v>35</v>
      </c>
    </row>
    <row r="179" spans="1:12">
      <c r="A179" t="s">
        <v>104</v>
      </c>
      <c r="B179" t="s">
        <v>31</v>
      </c>
      <c r="C179" t="s">
        <v>30</v>
      </c>
      <c r="D179">
        <v>1</v>
      </c>
      <c r="E179" t="s">
        <v>14</v>
      </c>
      <c r="F179" s="8" t="s">
        <v>16</v>
      </c>
      <c r="G179" s="2" t="s">
        <v>22</v>
      </c>
      <c r="H179">
        <f>AVERAGE(32.9,38.2)</f>
        <v>35.549999999999997</v>
      </c>
      <c r="I179" s="3" t="s">
        <v>90</v>
      </c>
      <c r="J179" s="3" t="s">
        <v>90</v>
      </c>
      <c r="K179" s="4">
        <v>45814</v>
      </c>
      <c r="L179" t="s">
        <v>35</v>
      </c>
    </row>
    <row r="180" spans="1:12">
      <c r="A180" t="s">
        <v>104</v>
      </c>
      <c r="B180" t="s">
        <v>31</v>
      </c>
      <c r="C180" t="s">
        <v>30</v>
      </c>
      <c r="D180">
        <v>2</v>
      </c>
      <c r="E180" t="s">
        <v>14</v>
      </c>
      <c r="F180" s="8" t="s">
        <v>20</v>
      </c>
      <c r="G180" s="2" t="s">
        <v>26</v>
      </c>
      <c r="H180">
        <f t="shared" ref="H180:H198" si="13">AVERAGE(32.9,38.2)</f>
        <v>35.549999999999997</v>
      </c>
      <c r="I180" s="3" t="s">
        <v>90</v>
      </c>
      <c r="J180" s="3" t="s">
        <v>90</v>
      </c>
      <c r="K180" s="4">
        <v>45814</v>
      </c>
      <c r="L180" t="s">
        <v>35</v>
      </c>
    </row>
    <row r="181" spans="1:12">
      <c r="A181" t="s">
        <v>104</v>
      </c>
      <c r="B181" t="s">
        <v>31</v>
      </c>
      <c r="C181" t="s">
        <v>30</v>
      </c>
      <c r="D181">
        <v>3</v>
      </c>
      <c r="E181" t="s">
        <v>14</v>
      </c>
      <c r="F181" s="8" t="s">
        <v>17</v>
      </c>
      <c r="G181" s="2" t="s">
        <v>23</v>
      </c>
      <c r="H181">
        <f t="shared" si="13"/>
        <v>35.549999999999997</v>
      </c>
      <c r="I181" s="3" t="s">
        <v>90</v>
      </c>
      <c r="J181" s="3" t="s">
        <v>90</v>
      </c>
      <c r="K181" s="4">
        <v>45814</v>
      </c>
      <c r="L181" t="s">
        <v>35</v>
      </c>
    </row>
    <row r="182" spans="1:12">
      <c r="A182" t="s">
        <v>104</v>
      </c>
      <c r="B182" t="s">
        <v>31</v>
      </c>
      <c r="C182" t="s">
        <v>30</v>
      </c>
      <c r="D182">
        <v>4</v>
      </c>
      <c r="E182" t="s">
        <v>14</v>
      </c>
      <c r="F182" s="8" t="s">
        <v>18</v>
      </c>
      <c r="G182" s="2" t="s">
        <v>25</v>
      </c>
      <c r="H182">
        <f t="shared" si="13"/>
        <v>35.549999999999997</v>
      </c>
      <c r="I182" s="3" t="s">
        <v>90</v>
      </c>
      <c r="J182" s="3" t="s">
        <v>90</v>
      </c>
      <c r="K182" s="4">
        <v>45814</v>
      </c>
      <c r="L182" t="s">
        <v>35</v>
      </c>
    </row>
    <row r="183" spans="1:12">
      <c r="A183" t="s">
        <v>104</v>
      </c>
      <c r="B183" t="s">
        <v>31</v>
      </c>
      <c r="C183" t="s">
        <v>30</v>
      </c>
      <c r="D183">
        <v>5</v>
      </c>
      <c r="E183" t="s">
        <v>14</v>
      </c>
      <c r="F183" s="8" t="s">
        <v>107</v>
      </c>
      <c r="G183" s="2" t="s">
        <v>112</v>
      </c>
      <c r="H183">
        <f t="shared" si="13"/>
        <v>35.549999999999997</v>
      </c>
      <c r="I183" s="3" t="s">
        <v>90</v>
      </c>
      <c r="J183" s="3" t="s">
        <v>90</v>
      </c>
      <c r="K183" s="4">
        <v>45814</v>
      </c>
      <c r="L183" t="s">
        <v>35</v>
      </c>
    </row>
    <row r="184" spans="1:12">
      <c r="A184" t="s">
        <v>104</v>
      </c>
      <c r="B184" t="s">
        <v>31</v>
      </c>
      <c r="C184" t="s">
        <v>30</v>
      </c>
      <c r="D184">
        <v>6</v>
      </c>
      <c r="E184" t="s">
        <v>14</v>
      </c>
      <c r="F184" s="8" t="s">
        <v>21</v>
      </c>
      <c r="G184" s="2" t="s">
        <v>27</v>
      </c>
      <c r="H184">
        <f t="shared" si="13"/>
        <v>35.549999999999997</v>
      </c>
      <c r="I184" s="3" t="s">
        <v>90</v>
      </c>
      <c r="J184" s="3" t="s">
        <v>90</v>
      </c>
      <c r="K184" s="4">
        <v>45814</v>
      </c>
      <c r="L184" t="s">
        <v>35</v>
      </c>
    </row>
    <row r="185" spans="1:12">
      <c r="A185" t="s">
        <v>104</v>
      </c>
      <c r="B185" t="s">
        <v>31</v>
      </c>
      <c r="C185" t="s">
        <v>30</v>
      </c>
      <c r="D185">
        <v>7</v>
      </c>
      <c r="E185" t="s">
        <v>15</v>
      </c>
      <c r="F185" s="8" t="s">
        <v>109</v>
      </c>
      <c r="G185" s="2" t="s">
        <v>23</v>
      </c>
      <c r="H185">
        <f t="shared" si="13"/>
        <v>35.549999999999997</v>
      </c>
      <c r="I185" s="3" t="s">
        <v>90</v>
      </c>
      <c r="J185" s="3" t="s">
        <v>90</v>
      </c>
      <c r="K185" s="4">
        <v>45814</v>
      </c>
      <c r="L185" t="s">
        <v>35</v>
      </c>
    </row>
    <row r="186" spans="1:12">
      <c r="A186" t="s">
        <v>104</v>
      </c>
      <c r="B186" t="s">
        <v>31</v>
      </c>
      <c r="C186" t="s">
        <v>30</v>
      </c>
      <c r="D186">
        <v>8</v>
      </c>
      <c r="E186" t="s">
        <v>15</v>
      </c>
      <c r="F186" s="8" t="s">
        <v>44</v>
      </c>
      <c r="G186" s="2" t="s">
        <v>25</v>
      </c>
      <c r="H186">
        <f t="shared" si="13"/>
        <v>35.549999999999997</v>
      </c>
      <c r="I186" s="3" t="s">
        <v>90</v>
      </c>
      <c r="J186" s="3" t="s">
        <v>90</v>
      </c>
      <c r="K186" s="4">
        <v>45814</v>
      </c>
      <c r="L186" t="s">
        <v>35</v>
      </c>
    </row>
    <row r="187" spans="1:12">
      <c r="A187" t="s">
        <v>104</v>
      </c>
      <c r="B187" t="s">
        <v>31</v>
      </c>
      <c r="C187" t="s">
        <v>30</v>
      </c>
      <c r="D187">
        <v>9</v>
      </c>
      <c r="E187" t="s">
        <v>15</v>
      </c>
      <c r="F187" s="8" t="s">
        <v>19</v>
      </c>
      <c r="G187" s="2" t="s">
        <v>25</v>
      </c>
      <c r="H187">
        <f t="shared" si="13"/>
        <v>35.549999999999997</v>
      </c>
      <c r="I187" s="3" t="s">
        <v>90</v>
      </c>
      <c r="J187" s="3" t="s">
        <v>90</v>
      </c>
      <c r="K187" s="4">
        <v>45814</v>
      </c>
      <c r="L187" t="s">
        <v>35</v>
      </c>
    </row>
    <row r="188" spans="1:12">
      <c r="A188" t="s">
        <v>104</v>
      </c>
      <c r="B188" t="s">
        <v>31</v>
      </c>
      <c r="C188" t="s">
        <v>30</v>
      </c>
      <c r="D188">
        <v>10</v>
      </c>
      <c r="E188" t="s">
        <v>15</v>
      </c>
      <c r="F188" s="8" t="s">
        <v>110</v>
      </c>
      <c r="G188" s="2" t="s">
        <v>23</v>
      </c>
      <c r="H188">
        <f t="shared" si="13"/>
        <v>35.549999999999997</v>
      </c>
      <c r="I188" s="3" t="s">
        <v>90</v>
      </c>
      <c r="J188" s="3" t="s">
        <v>90</v>
      </c>
      <c r="K188" s="4">
        <v>45814</v>
      </c>
      <c r="L188" t="s">
        <v>35</v>
      </c>
    </row>
    <row r="189" spans="1:12">
      <c r="A189" t="s">
        <v>104</v>
      </c>
      <c r="B189" t="s">
        <v>31</v>
      </c>
      <c r="C189" t="s">
        <v>30</v>
      </c>
      <c r="D189">
        <v>12</v>
      </c>
      <c r="E189" t="s">
        <v>15</v>
      </c>
      <c r="F189" s="8" t="s">
        <v>18</v>
      </c>
      <c r="G189" s="2" t="s">
        <v>25</v>
      </c>
      <c r="H189">
        <f t="shared" si="13"/>
        <v>35.549999999999997</v>
      </c>
      <c r="I189" s="3" t="s">
        <v>90</v>
      </c>
      <c r="J189" s="3" t="s">
        <v>90</v>
      </c>
      <c r="K189" s="4">
        <v>45814</v>
      </c>
      <c r="L189" t="s">
        <v>35</v>
      </c>
    </row>
    <row r="190" spans="1:12">
      <c r="A190" t="s">
        <v>104</v>
      </c>
      <c r="B190" t="s">
        <v>31</v>
      </c>
      <c r="C190" t="s">
        <v>30</v>
      </c>
      <c r="D190">
        <v>14</v>
      </c>
      <c r="E190" t="s">
        <v>15</v>
      </c>
      <c r="F190" s="8" t="s">
        <v>18</v>
      </c>
      <c r="G190" s="2" t="s">
        <v>25</v>
      </c>
      <c r="H190">
        <f t="shared" si="13"/>
        <v>35.549999999999997</v>
      </c>
      <c r="I190" s="3" t="s">
        <v>90</v>
      </c>
      <c r="J190" s="3" t="s">
        <v>90</v>
      </c>
      <c r="K190" s="4">
        <v>45814</v>
      </c>
      <c r="L190" t="s">
        <v>35</v>
      </c>
    </row>
    <row r="191" spans="1:12">
      <c r="A191" t="s">
        <v>104</v>
      </c>
      <c r="B191" t="s">
        <v>31</v>
      </c>
      <c r="C191" t="s">
        <v>30</v>
      </c>
      <c r="D191">
        <v>15</v>
      </c>
      <c r="E191" t="s">
        <v>15</v>
      </c>
      <c r="F191" s="8" t="s">
        <v>17</v>
      </c>
      <c r="G191" s="2" t="s">
        <v>23</v>
      </c>
      <c r="H191">
        <f t="shared" si="13"/>
        <v>35.549999999999997</v>
      </c>
      <c r="I191" s="3" t="s">
        <v>90</v>
      </c>
      <c r="J191" s="3" t="s">
        <v>90</v>
      </c>
      <c r="K191" s="4">
        <v>45814</v>
      </c>
      <c r="L191" t="s">
        <v>35</v>
      </c>
    </row>
    <row r="192" spans="1:12">
      <c r="A192" t="s">
        <v>104</v>
      </c>
      <c r="B192" t="s">
        <v>31</v>
      </c>
      <c r="C192" t="s">
        <v>30</v>
      </c>
      <c r="D192">
        <v>16</v>
      </c>
      <c r="E192" t="s">
        <v>15</v>
      </c>
      <c r="F192" s="8" t="s">
        <v>17</v>
      </c>
      <c r="G192" s="2" t="s">
        <v>23</v>
      </c>
      <c r="H192">
        <f t="shared" si="13"/>
        <v>35.549999999999997</v>
      </c>
      <c r="I192" s="3" t="s">
        <v>90</v>
      </c>
      <c r="J192" s="3" t="s">
        <v>90</v>
      </c>
      <c r="K192" s="4">
        <v>45814</v>
      </c>
      <c r="L192" t="s">
        <v>35</v>
      </c>
    </row>
    <row r="193" spans="1:12">
      <c r="A193" t="s">
        <v>104</v>
      </c>
      <c r="B193" t="s">
        <v>31</v>
      </c>
      <c r="C193" t="s">
        <v>30</v>
      </c>
      <c r="D193">
        <v>17</v>
      </c>
      <c r="E193" t="s">
        <v>15</v>
      </c>
      <c r="F193" s="8" t="s">
        <v>17</v>
      </c>
      <c r="G193" s="2" t="s">
        <v>23</v>
      </c>
      <c r="H193">
        <f t="shared" si="13"/>
        <v>35.549999999999997</v>
      </c>
      <c r="I193" s="3" t="s">
        <v>90</v>
      </c>
      <c r="J193" s="3" t="s">
        <v>90</v>
      </c>
      <c r="K193" s="4">
        <v>45814</v>
      </c>
      <c r="L193" t="s">
        <v>35</v>
      </c>
    </row>
    <row r="194" spans="1:12">
      <c r="A194" t="s">
        <v>104</v>
      </c>
      <c r="B194" t="s">
        <v>31</v>
      </c>
      <c r="C194" t="s">
        <v>30</v>
      </c>
      <c r="D194">
        <v>18</v>
      </c>
      <c r="E194" t="s">
        <v>15</v>
      </c>
      <c r="F194" s="8" t="s">
        <v>17</v>
      </c>
      <c r="G194" s="2" t="s">
        <v>23</v>
      </c>
      <c r="H194">
        <f t="shared" si="13"/>
        <v>35.549999999999997</v>
      </c>
      <c r="I194" s="3" t="s">
        <v>90</v>
      </c>
      <c r="J194" s="3" t="s">
        <v>90</v>
      </c>
      <c r="K194" s="4">
        <v>45814</v>
      </c>
      <c r="L194" t="s">
        <v>35</v>
      </c>
    </row>
    <row r="195" spans="1:12">
      <c r="A195" t="s">
        <v>104</v>
      </c>
      <c r="B195" t="s">
        <v>31</v>
      </c>
      <c r="C195" t="s">
        <v>30</v>
      </c>
      <c r="D195">
        <v>19</v>
      </c>
      <c r="E195" t="s">
        <v>15</v>
      </c>
      <c r="F195" s="8" t="s">
        <v>17</v>
      </c>
      <c r="G195" s="2" t="s">
        <v>23</v>
      </c>
      <c r="H195">
        <f t="shared" si="13"/>
        <v>35.549999999999997</v>
      </c>
      <c r="I195" s="3" t="s">
        <v>90</v>
      </c>
      <c r="J195" s="3" t="s">
        <v>90</v>
      </c>
      <c r="K195" s="4">
        <v>45814</v>
      </c>
      <c r="L195" t="s">
        <v>35</v>
      </c>
    </row>
    <row r="196" spans="1:12">
      <c r="A196" t="s">
        <v>104</v>
      </c>
      <c r="B196" t="s">
        <v>31</v>
      </c>
      <c r="C196" t="s">
        <v>30</v>
      </c>
      <c r="D196">
        <v>20</v>
      </c>
      <c r="E196" t="s">
        <v>15</v>
      </c>
      <c r="F196" s="8" t="s">
        <v>17</v>
      </c>
      <c r="G196" s="2" t="s">
        <v>23</v>
      </c>
      <c r="H196">
        <f t="shared" si="13"/>
        <v>35.549999999999997</v>
      </c>
      <c r="I196" s="3" t="s">
        <v>90</v>
      </c>
      <c r="J196" s="3" t="s">
        <v>90</v>
      </c>
      <c r="K196" s="4">
        <v>45814</v>
      </c>
      <c r="L196" t="s">
        <v>35</v>
      </c>
    </row>
    <row r="197" spans="1:12">
      <c r="A197" t="s">
        <v>104</v>
      </c>
      <c r="B197" t="s">
        <v>31</v>
      </c>
      <c r="C197" t="s">
        <v>30</v>
      </c>
      <c r="D197">
        <v>21</v>
      </c>
      <c r="E197" t="s">
        <v>15</v>
      </c>
      <c r="F197" s="8" t="s">
        <v>17</v>
      </c>
      <c r="G197" s="2" t="s">
        <v>23</v>
      </c>
      <c r="H197">
        <f t="shared" si="13"/>
        <v>35.549999999999997</v>
      </c>
      <c r="I197" s="3" t="s">
        <v>90</v>
      </c>
      <c r="J197" s="3" t="s">
        <v>90</v>
      </c>
      <c r="K197" s="4">
        <v>45814</v>
      </c>
      <c r="L197" t="s">
        <v>35</v>
      </c>
    </row>
    <row r="198" spans="1:12">
      <c r="A198" t="s">
        <v>104</v>
      </c>
      <c r="B198" t="s">
        <v>31</v>
      </c>
      <c r="C198" t="s">
        <v>30</v>
      </c>
      <c r="D198">
        <v>22</v>
      </c>
      <c r="E198" t="s">
        <v>15</v>
      </c>
      <c r="F198" s="8" t="s">
        <v>17</v>
      </c>
      <c r="G198" s="2" t="s">
        <v>23</v>
      </c>
      <c r="H198">
        <f t="shared" si="13"/>
        <v>35.549999999999997</v>
      </c>
      <c r="I198" s="3" t="s">
        <v>90</v>
      </c>
      <c r="J198" s="3" t="s">
        <v>90</v>
      </c>
      <c r="K198" s="4">
        <v>45814</v>
      </c>
      <c r="L198" t="s">
        <v>35</v>
      </c>
    </row>
    <row r="199" spans="1:12">
      <c r="A199" t="s">
        <v>104</v>
      </c>
      <c r="B199" t="s">
        <v>33</v>
      </c>
      <c r="C199" t="s">
        <v>32</v>
      </c>
      <c r="D199">
        <v>1</v>
      </c>
      <c r="E199" t="s">
        <v>15</v>
      </c>
      <c r="F199" s="8" t="s">
        <v>21</v>
      </c>
      <c r="G199" s="2" t="s">
        <v>27</v>
      </c>
      <c r="H199">
        <f>AVERAGE(33.4,32.5)</f>
        <v>32.950000000000003</v>
      </c>
      <c r="I199" s="3" t="s">
        <v>114</v>
      </c>
      <c r="J199" s="3" t="s">
        <v>115</v>
      </c>
      <c r="K199" s="4">
        <v>45814</v>
      </c>
      <c r="L199" t="s">
        <v>35</v>
      </c>
    </row>
    <row r="200" spans="1:12">
      <c r="A200" t="s">
        <v>104</v>
      </c>
      <c r="B200" t="s">
        <v>33</v>
      </c>
      <c r="C200" t="s">
        <v>32</v>
      </c>
      <c r="D200">
        <v>2</v>
      </c>
      <c r="E200" t="s">
        <v>15</v>
      </c>
      <c r="F200" s="8" t="s">
        <v>17</v>
      </c>
      <c r="G200" s="2" t="s">
        <v>23</v>
      </c>
      <c r="H200">
        <f t="shared" ref="H200:H202" si="14">AVERAGE(33.4,32.5)</f>
        <v>32.950000000000003</v>
      </c>
      <c r="I200" s="3" t="s">
        <v>114</v>
      </c>
      <c r="J200" s="3" t="s">
        <v>115</v>
      </c>
      <c r="K200" s="4">
        <v>45814</v>
      </c>
      <c r="L200" t="s">
        <v>35</v>
      </c>
    </row>
    <row r="201" spans="1:12">
      <c r="A201" t="s">
        <v>104</v>
      </c>
      <c r="B201" t="s">
        <v>33</v>
      </c>
      <c r="C201" t="s">
        <v>32</v>
      </c>
      <c r="D201">
        <v>3</v>
      </c>
      <c r="E201" t="s">
        <v>15</v>
      </c>
      <c r="F201" s="8" t="s">
        <v>17</v>
      </c>
      <c r="G201" s="2" t="s">
        <v>23</v>
      </c>
      <c r="H201">
        <f t="shared" si="14"/>
        <v>32.950000000000003</v>
      </c>
      <c r="I201" s="3" t="s">
        <v>114</v>
      </c>
      <c r="J201" s="3" t="s">
        <v>115</v>
      </c>
      <c r="K201" s="4">
        <v>45814</v>
      </c>
      <c r="L201" t="s">
        <v>35</v>
      </c>
    </row>
    <row r="202" spans="1:12">
      <c r="A202" t="s">
        <v>104</v>
      </c>
      <c r="B202" t="s">
        <v>33</v>
      </c>
      <c r="C202" t="s">
        <v>32</v>
      </c>
      <c r="D202">
        <v>4</v>
      </c>
      <c r="E202" t="s">
        <v>15</v>
      </c>
      <c r="F202" s="8" t="s">
        <v>17</v>
      </c>
      <c r="G202" s="2" t="s">
        <v>23</v>
      </c>
      <c r="H202">
        <f t="shared" si="14"/>
        <v>32.950000000000003</v>
      </c>
      <c r="I202" s="3" t="s">
        <v>114</v>
      </c>
      <c r="J202" s="3" t="s">
        <v>115</v>
      </c>
      <c r="K202" s="4">
        <v>45814</v>
      </c>
      <c r="L20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PRETAT</dc:creator>
  <cp:lastModifiedBy>Alexis PRETAT</cp:lastModifiedBy>
  <dcterms:created xsi:type="dcterms:W3CDTF">2026-02-05T13:32:41Z</dcterms:created>
  <dcterms:modified xsi:type="dcterms:W3CDTF">2026-02-11T14:40:50Z</dcterms:modified>
</cp:coreProperties>
</file>