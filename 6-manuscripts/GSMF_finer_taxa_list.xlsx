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 (Email.jussieu)\en_cours\recherche\projets\MACROFAUNA\0_TSBF_method\reporting_template\"/>
    </mc:Choice>
  </mc:AlternateContent>
  <xr:revisionPtr revIDLastSave="0" documentId="13_ncr:1_{9C838809-5900-4128-89B6-273E6F36BC37}" xr6:coauthVersionLast="47" xr6:coauthVersionMax="47" xr10:uidLastSave="{00000000-0000-0000-0000-000000000000}"/>
  <bookViews>
    <workbookView xWindow="-110" yWindow="-110" windowWidth="38620" windowHeight="21100" xr2:uid="{E140349B-566B-417F-B303-E5D2C03E13E0}"/>
  </bookViews>
  <sheets>
    <sheet name="list of taxa full" sheetId="5" r:id="rId1"/>
    <sheet name="list of taxa tmp" sheetId="4" r:id="rId2"/>
    <sheet name="list of taxa simple" sheetId="3" r:id="rId3"/>
  </sheets>
  <definedNames>
    <definedName name="_xlnm._FilterDatabase" localSheetId="0" hidden="1">'list of taxa full'!$B$3:$G$124</definedName>
    <definedName name="_xlnm._FilterDatabase" localSheetId="2" hidden="1">'list of taxa simple'!$A$3:$E$97</definedName>
    <definedName name="_xlnm._FilterDatabase" localSheetId="1" hidden="1">'list of taxa tmp'!$B$3:$G$97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00" i="5" l="1"/>
  <c r="AA83" i="5" l="1"/>
  <c r="AA76" i="5"/>
  <c r="AA61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99" i="5"/>
  <c r="AA98" i="5"/>
  <c r="AA97" i="5"/>
  <c r="AA95" i="5"/>
  <c r="AA94" i="5"/>
  <c r="AA93" i="5"/>
  <c r="AA92" i="5"/>
  <c r="AA91" i="5"/>
  <c r="AA90" i="5"/>
  <c r="AA89" i="5"/>
  <c r="AA88" i="5"/>
  <c r="AA87" i="5"/>
  <c r="AA86" i="5"/>
  <c r="AA85" i="5"/>
  <c r="AA82" i="5"/>
  <c r="AA81" i="5"/>
  <c r="AA75" i="5"/>
  <c r="AA69" i="5"/>
  <c r="AA68" i="5"/>
  <c r="AA67" i="5"/>
  <c r="AA66" i="5"/>
  <c r="AA65" i="5"/>
  <c r="AA64" i="5"/>
  <c r="AA63" i="5"/>
  <c r="AA62" i="5"/>
  <c r="AA60" i="5"/>
  <c r="AA59" i="5"/>
  <c r="AA58" i="5"/>
  <c r="AA57" i="5"/>
  <c r="AA56" i="5"/>
  <c r="AA55" i="5"/>
  <c r="AA54" i="5"/>
  <c r="AA53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Jerome Mathieu</author>
  </authors>
  <commentList>
    <comment ref="H4" authorId="0" shapeId="0" xr:uid="{162A25B9-3F0F-484F-BB7A-E71907F9F312}">
      <text>
        <r>
          <rPr>
            <b/>
            <sz val="9"/>
            <color indexed="81"/>
            <rFont val="Tahoma"/>
            <family val="2"/>
          </rPr>
          <t>Jerome Mathieu:</t>
        </r>
        <r>
          <rPr>
            <sz val="9"/>
            <color indexed="81"/>
            <rFont val="Tahoma"/>
            <family val="2"/>
          </rPr>
          <t xml:space="preserve">
of course this will vary from place to place</t>
        </r>
      </text>
    </comment>
    <comment ref="C115" authorId="0" shapeId="0" xr:uid="{F14DD7FF-CBEE-4E54-AB77-47DD433C9390}">
      <text>
        <r>
          <rPr>
            <b/>
            <sz val="9"/>
            <color indexed="81"/>
            <rFont val="Tahoma"/>
            <family val="2"/>
          </rPr>
          <t>Jerome Mathieu:</t>
        </r>
        <r>
          <rPr>
            <sz val="9"/>
            <color indexed="81"/>
            <rFont val="Tahoma"/>
            <family val="2"/>
          </rPr>
          <t xml:space="preserve">
I suspect this ishould be gryllotalppoidea
hrere i put the diet of bryllobattodea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Jerome Mathieu</author>
  </authors>
  <commentList>
    <comment ref="H2" authorId="0" shapeId="0" xr:uid="{D2BCA8DA-ED33-49BF-B13E-71A10AF3185E}">
      <text>
        <r>
          <rPr>
            <b/>
            <sz val="9"/>
            <color indexed="81"/>
            <rFont val="Tahoma"/>
            <family val="2"/>
          </rPr>
          <t>Jerome Mathieu:</t>
        </r>
        <r>
          <rPr>
            <sz val="9"/>
            <color indexed="81"/>
            <rFont val="Tahoma"/>
            <family val="2"/>
          </rPr>
          <t xml:space="preserve">
attempt to clarify</t>
        </r>
      </text>
    </comment>
    <comment ref="H4" authorId="0" shapeId="0" xr:uid="{731765C6-EDC3-4544-9901-422C7AE1B99E}">
      <text>
        <r>
          <rPr>
            <b/>
            <sz val="9"/>
            <color indexed="81"/>
            <rFont val="Tahoma"/>
            <family val="2"/>
          </rPr>
          <t>Jerome Mathieu:</t>
        </r>
        <r>
          <rPr>
            <sz val="9"/>
            <color indexed="81"/>
            <rFont val="Tahoma"/>
            <family val="2"/>
          </rPr>
          <t xml:space="preserve">
of course this will vary from place to place</t>
        </r>
      </text>
    </comment>
    <comment ref="C88" authorId="0" shapeId="0" xr:uid="{ACDC5849-4D74-4774-B4D6-F057AA23F8A3}">
      <text>
        <r>
          <rPr>
            <b/>
            <sz val="9"/>
            <color indexed="81"/>
            <rFont val="Tahoma"/>
            <family val="2"/>
          </rPr>
          <t>Jerome Mathieu:</t>
        </r>
        <r>
          <rPr>
            <sz val="9"/>
            <color indexed="81"/>
            <rFont val="Tahoma"/>
            <family val="2"/>
          </rPr>
          <t xml:space="preserve">
I suspect this ishould be gryllotalppoidea
hrere i put the diet of bryllobattodea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Jerome Mathieu</author>
  </authors>
  <commentList>
    <comment ref="D3" authorId="0" shapeId="0" xr:uid="{3C7157D4-C222-472F-8B4D-6FE93913C82C}">
      <text>
        <r>
          <rPr>
            <b/>
            <sz val="9"/>
            <color indexed="81"/>
            <rFont val="Tahoma"/>
          </rPr>
          <t>Jerome Mathieu:</t>
        </r>
        <r>
          <rPr>
            <sz val="9"/>
            <color indexed="81"/>
            <rFont val="Tahoma"/>
          </rPr>
          <t xml:space="preserve">
maybe we should split diet into different items and attribute a rough preference per food item, and allow it to change with location/ region, based on people knowledge, and give it as part of the template</t>
        </r>
      </text>
    </comment>
  </commentList>
</comments>
</file>

<file path=xl/sharedStrings.xml><?xml version="1.0" encoding="utf-8"?>
<sst xmlns="http://schemas.openxmlformats.org/spreadsheetml/2006/main" count="1046" uniqueCount="303">
  <si>
    <t>d_earthworms</t>
  </si>
  <si>
    <t>d_earthworms_cocoons</t>
  </si>
  <si>
    <t>d_ants</t>
  </si>
  <si>
    <t>d_hymenoptera_not_ants</t>
  </si>
  <si>
    <t>d_termites</t>
  </si>
  <si>
    <t>d_coleoptera_adults</t>
  </si>
  <si>
    <t>d_coleoptera_larvae</t>
  </si>
  <si>
    <t>d_coleoptera_pupae</t>
  </si>
  <si>
    <t>d_araneae</t>
  </si>
  <si>
    <t>d_amblypygi</t>
  </si>
  <si>
    <t>d_uropygi</t>
  </si>
  <si>
    <t>d_opiliones</t>
  </si>
  <si>
    <t>d_pseudoscorpiones</t>
  </si>
  <si>
    <t>d_scorpiones</t>
  </si>
  <si>
    <t>d_solifugae</t>
  </si>
  <si>
    <t>d_ricinulei</t>
  </si>
  <si>
    <t>d_schizomida</t>
  </si>
  <si>
    <t>d_palpigradi</t>
  </si>
  <si>
    <t>d_diplopoda</t>
  </si>
  <si>
    <t>d_chilopoda</t>
  </si>
  <si>
    <t>d_pauropoda</t>
  </si>
  <si>
    <t>d_symphyla</t>
  </si>
  <si>
    <t>d_isopoda</t>
  </si>
  <si>
    <t>d_diptera_adults</t>
  </si>
  <si>
    <t>d_diptera_larvae</t>
  </si>
  <si>
    <t>d_cockroaches</t>
  </si>
  <si>
    <t>d_heteroptera</t>
  </si>
  <si>
    <t>d_homoptera</t>
  </si>
  <si>
    <t>d_dermaptera</t>
  </si>
  <si>
    <t>d_lepidoptera_larvae</t>
  </si>
  <si>
    <t>d_lepidoptera_adults</t>
  </si>
  <si>
    <t>d_orthoptera</t>
  </si>
  <si>
    <t>d_gastropoda</t>
  </si>
  <si>
    <t>d_diplura</t>
  </si>
  <si>
    <t>d_embioptera</t>
  </si>
  <si>
    <t>d_neuroptera</t>
  </si>
  <si>
    <t>d_hirudinea</t>
  </si>
  <si>
    <t>d_mantodea</t>
  </si>
  <si>
    <t>d_phasmida</t>
  </si>
  <si>
    <t>d_protura</t>
  </si>
  <si>
    <t>d_thysanoptera</t>
  </si>
  <si>
    <t>d_grylloblattodea</t>
  </si>
  <si>
    <t>d_psocoptera</t>
  </si>
  <si>
    <t>d_zoraptera</t>
  </si>
  <si>
    <t>d_zygentoma</t>
  </si>
  <si>
    <t>d_archaeognatha</t>
  </si>
  <si>
    <t>d_ixodida</t>
  </si>
  <si>
    <t>d_amphipoda</t>
  </si>
  <si>
    <t>d_enchytraeidae</t>
  </si>
  <si>
    <t>d_geoplanidae</t>
  </si>
  <si>
    <t>d_trichoptera_larvae</t>
  </si>
  <si>
    <t>Micro-parasitoids</t>
  </si>
  <si>
    <t>foliar herbivores</t>
  </si>
  <si>
    <t>parasitoids</t>
  </si>
  <si>
    <t>predators</t>
  </si>
  <si>
    <t>strict soil feeders</t>
  </si>
  <si>
    <t>wood feeders</t>
  </si>
  <si>
    <t>Divers</t>
  </si>
  <si>
    <t>Root feeders</t>
  </si>
  <si>
    <t>Predators</t>
  </si>
  <si>
    <t>Root feeders | detritivores</t>
  </si>
  <si>
    <t>Herbivores</t>
  </si>
  <si>
    <t>diet</t>
  </si>
  <si>
    <t>Sciaridae</t>
  </si>
  <si>
    <t>Muscidae, Calliphoridae</t>
  </si>
  <si>
    <t>Empididae, Asilidae</t>
  </si>
  <si>
    <t>detritivores | herbivores (root feeders)</t>
  </si>
  <si>
    <t>detritivores | grazers</t>
  </si>
  <si>
    <t>detritivores</t>
  </si>
  <si>
    <t>soldier flies</t>
  </si>
  <si>
    <t>grasshoppers - criquets</t>
  </si>
  <si>
    <t>crickets and katydids - grillons et sauterelles</t>
  </si>
  <si>
    <t>d_ants_formicinae</t>
  </si>
  <si>
    <t>d_ants_ponerinae</t>
  </si>
  <si>
    <t>d_ants_dorylinae</t>
  </si>
  <si>
    <t>d_ants_dolichoderinae</t>
  </si>
  <si>
    <t>d_ants_amblyoponinae</t>
  </si>
  <si>
    <t>d_ants_proceratiinae</t>
  </si>
  <si>
    <t>d_ants_leptanillinae</t>
  </si>
  <si>
    <t>d_hymenoptera_not_ants_symphyta</t>
  </si>
  <si>
    <t>d_hymenoptera_not_ants_chalcidoidea</t>
  </si>
  <si>
    <t>d_hymenoptera_not_ants_anthophila</t>
  </si>
  <si>
    <t>d_hymenoptera_not_ants_apoidea</t>
  </si>
  <si>
    <t>d_hymenoptera_not_ants_vespoidea_non_ants</t>
  </si>
  <si>
    <t>d_hymenoptera_not_ants_other_apocrita</t>
  </si>
  <si>
    <t>d_termites_apicotermitinae</t>
  </si>
  <si>
    <t>d_termites_termitinae</t>
  </si>
  <si>
    <t>d_termites_macrotermitinae</t>
  </si>
  <si>
    <t>d_termites_nasutitermitinae</t>
  </si>
  <si>
    <t>d_termites_rhinotermitidae</t>
  </si>
  <si>
    <t>d_coleoptera_larvae_scarabaeiform</t>
  </si>
  <si>
    <t>d_coleoptera_larvae_elateriform</t>
  </si>
  <si>
    <t>d_coleoptera_larvae_campodeiform</t>
  </si>
  <si>
    <t>d_coleoptera_larvae_eruciform</t>
  </si>
  <si>
    <t>d_diptera_larvae_chironomidae</t>
  </si>
  <si>
    <t>d_diptera_larvae_tipulidae</t>
  </si>
  <si>
    <t>d_diptera_larvae_stratiomyidae</t>
  </si>
  <si>
    <t>d_diptera_larvae_hemicephalous</t>
  </si>
  <si>
    <t>d_diptera_larvae_acephalous</t>
  </si>
  <si>
    <t>d_diptera_larvae_predatory larvae</t>
  </si>
  <si>
    <t>d_diptera_larvae_other</t>
  </si>
  <si>
    <t>d_homoptera_sternorrhyncha</t>
  </si>
  <si>
    <t>d_homoptera_auchenorrhyncha</t>
  </si>
  <si>
    <t>d_orthoptera_caelifera</t>
  </si>
  <si>
    <t>d_orthoptera_ensifera</t>
  </si>
  <si>
    <t>d_gastropoda_snails</t>
  </si>
  <si>
    <t>d_gastropoda_slugs</t>
  </si>
  <si>
    <t>d_ants_other</t>
  </si>
  <si>
    <t>d_termites_other</t>
  </si>
  <si>
    <t>d_coleoptera_adults_family</t>
  </si>
  <si>
    <t>d_araneae_family</t>
  </si>
  <si>
    <t>d_diplopoda_order</t>
  </si>
  <si>
    <t>d_chilopoda_order</t>
  </si>
  <si>
    <t>d_isopoda_family</t>
  </si>
  <si>
    <t>d_cockroaches_family</t>
  </si>
  <si>
    <t>d_heteroptera_family</t>
  </si>
  <si>
    <t>d_dermaptera_order</t>
  </si>
  <si>
    <t>unknown</t>
  </si>
  <si>
    <t>non feeding stage</t>
  </si>
  <si>
    <t>depends on the family</t>
  </si>
  <si>
    <t>omnivores</t>
  </si>
  <si>
    <t>detritivores | microbial feeders</t>
  </si>
  <si>
    <t>herbivores</t>
  </si>
  <si>
    <t>herbivores (root feeders)</t>
  </si>
  <si>
    <t>nectar feeders</t>
  </si>
  <si>
    <t>herbivores | detritivores</t>
  </si>
  <si>
    <t>detritivores | fungal feeders</t>
  </si>
  <si>
    <t>microbial grazers</t>
  </si>
  <si>
    <t>detritivores | herbivores</t>
  </si>
  <si>
    <t>parasites</t>
  </si>
  <si>
    <t>d_hymenoptera_not_ants_other</t>
  </si>
  <si>
    <t>variable</t>
  </si>
  <si>
    <t>pollen | nectar feeders (pollinators)</t>
  </si>
  <si>
    <t>predators | omnivores</t>
  </si>
  <si>
    <t>litter | wood feeders</t>
  </si>
  <si>
    <t>Fungivores | root-associated feeders</t>
  </si>
  <si>
    <t>ex.</t>
  </si>
  <si>
    <t>d_hymenoptera_not_ants_ichneumonoidea</t>
  </si>
  <si>
    <t>d_ants_myrmicinae_attini</t>
  </si>
  <si>
    <t>d_ants_myrmicinae_messor</t>
  </si>
  <si>
    <t>herbivore (fungus growers)</t>
  </si>
  <si>
    <t>herbivore (seeds)</t>
  </si>
  <si>
    <t>d_ants_myrmicinae_other</t>
  </si>
  <si>
    <t>humus | soil feeders | wood feeders</t>
  </si>
  <si>
    <t>Segmented cylindrical body, no legs, clitellum visible (adults)</t>
  </si>
  <si>
    <t>Small oval capsule in soil, smooth surface</t>
  </si>
  <si>
    <t>Elbowed antennae, petiole with two nodes</t>
  </si>
  <si>
    <t>Single petiole node, acidopore at tip of abdomen</t>
  </si>
  <si>
    <t>Large mandibles, elongated body, single node</t>
  </si>
  <si>
    <t>Army ants, nomadic behavior, long legs</t>
  </si>
  <si>
    <t>Single node, smooth body, often strong odor</t>
  </si>
  <si>
    <t>Slender body, cryptic, subterranean</t>
  </si>
  <si>
    <t>Small eyes, curved gaster</t>
  </si>
  <si>
    <t>Tiny, pale, subterranean</t>
  </si>
  <si>
    <t>No narrow waist between thorax and abdomen</t>
  </si>
  <si>
    <t>Slender body, long ovipositor often visible</t>
  </si>
  <si>
    <t>Very small wasps (&lt;5 mm), compact body</t>
  </si>
  <si>
    <t>Dense body hairs, pollen baskets</t>
  </si>
  <si>
    <t>Wasp-like, little hair, elongated body</t>
  </si>
  <si>
    <t>Robust wasps, folded wings at rest</t>
  </si>
  <si>
    <t>Narrow waist, unclear superfamily</t>
  </si>
  <si>
    <t>Hymenoptera but unclear placement</t>
  </si>
  <si>
    <t>Small pale termites, no large mound</t>
  </si>
  <si>
    <t>Workers with strong mandibles</t>
  </si>
  <si>
    <t>Soldiers with long nasus (snout)</t>
  </si>
  <si>
    <t>Hardened forewings (elytra) covering abdomen</t>
  </si>
  <si>
    <t>C-shaped, soft, thick body</t>
  </si>
  <si>
    <t>Long, cylindrical, hard-bodied (wireworm)</t>
  </si>
  <si>
    <t>Immobile, pale, visible appendages</t>
  </si>
  <si>
    <t>Flattened body, long whip-like front legs</t>
  </si>
  <si>
    <t>Whip tail, large pedipalps</t>
  </si>
  <si>
    <t>Fused body, long legs</t>
  </si>
  <si>
    <t>Tiny, scorpion-like pincers, no tail</t>
  </si>
  <si>
    <t>Pincers and stinger tail</t>
  </si>
  <si>
    <t>Large jaws, fast-moving</t>
  </si>
  <si>
    <t>Small, hood-like carapace</t>
  </si>
  <si>
    <t>Small whip tail, short legs</t>
  </si>
  <si>
    <t>Tiny, thread-like tail</t>
  </si>
  <si>
    <t>Very small, soft-bodied, branched antennae</t>
  </si>
  <si>
    <t>Small, white, fast, long antennae</t>
  </si>
  <si>
    <t>Flattened crustacean, 7 pairs legs</t>
  </si>
  <si>
    <t>One pair of wings, halteres</t>
  </si>
  <si>
    <t>Partial head capsule visible</t>
  </si>
  <si>
    <t>Small soft-bodied, often sessile</t>
  </si>
  <si>
    <t>Jumping insects, wedge-shaped body</t>
  </si>
  <si>
    <t>Forceps-like cerci at abdomen tip</t>
  </si>
  <si>
    <t>Caterpillar, prolegs present</t>
  </si>
  <si>
    <t>Short antennae, enlarged hind legs</t>
  </si>
  <si>
    <t>Long antennae, hind legs strong</t>
  </si>
  <si>
    <t>Shell present</t>
  </si>
  <si>
    <t>No shell</t>
  </si>
  <si>
    <t>Two long cerci at abdomen tip</t>
  </si>
  <si>
    <t>Silk galleries, swollen front tarsi</t>
  </si>
  <si>
    <t>Lace-like wings (adults)</t>
  </si>
  <si>
    <t>Flattened annelid with suckers</t>
  </si>
  <si>
    <t>Raptorial front legs</t>
  </si>
  <si>
    <t>Stick-like body</t>
  </si>
  <si>
    <t>Tiny, no eyes, no antennae</t>
  </si>
  <si>
    <t>Very small, fringed wings</t>
  </si>
  <si>
    <t>Wingless, elongated, cold habitats</t>
  </si>
  <si>
    <t>Small, soft-bodied, large head</t>
  </si>
  <si>
    <t>Tiny, pale insects in wood</t>
  </si>
  <si>
    <t>Silverfish-like, three tail filaments</t>
  </si>
  <si>
    <t>Jumping bristletail, arched body</t>
  </si>
  <si>
    <t>Flattened tick, 8 legs (adult)</t>
  </si>
  <si>
    <t>Laterally compressed crustacean</t>
  </si>
  <si>
    <t>Flat worm, broad head</t>
  </si>
  <si>
    <t>often spines on thorax</t>
  </si>
  <si>
    <t>Large head, strong mandibles</t>
  </si>
  <si>
    <t>soft-bodied, wood galleries</t>
  </si>
  <si>
    <t>Small white worm, chaetae grouped in small lateral bundles</t>
  </si>
  <si>
    <t>hardened head capsule, three thoracic legs, and posterior anal hooks</t>
  </si>
  <si>
    <t>key identification features</t>
  </si>
  <si>
    <t>Flattened, active, visible mandibles, elongated body</t>
  </si>
  <si>
    <t>Soft cylindrical body, small legs, not C shaped</t>
  </si>
  <si>
    <t>head capsule, mandibles</t>
  </si>
  <si>
    <t>Large, thick, soft larva (leatherjacket), head capsule, mandibles</t>
  </si>
  <si>
    <t>Flattened, tough skin, round posterior plate, triangular head</t>
  </si>
  <si>
    <t>No visible head, maggot-like, conic</t>
  </si>
  <si>
    <t>Strong visible mandibles, body not soft</t>
  </si>
  <si>
    <t>minimal identification level</t>
  </si>
  <si>
    <t>saprophages</t>
  </si>
  <si>
    <t>d_coleoptera_adults_other</t>
  </si>
  <si>
    <t>d_araneae_other</t>
  </si>
  <si>
    <t>d_diplopoda_other</t>
  </si>
  <si>
    <t>d_chilopoda_other</t>
  </si>
  <si>
    <t>d_isopoda_other</t>
  </si>
  <si>
    <t>d_heteroptera_other</t>
  </si>
  <si>
    <t>d_cockroaches_other</t>
  </si>
  <si>
    <t>d_dermaptera_other</t>
  </si>
  <si>
    <t>d_coleoptera_larvae_other</t>
  </si>
  <si>
    <t>higher identification level</t>
  </si>
  <si>
    <t>51 taxa</t>
  </si>
  <si>
    <t>&gt; 94 taxa</t>
  </si>
  <si>
    <t>detritivore</t>
  </si>
  <si>
    <t>fungus grower</t>
  </si>
  <si>
    <t>herbivore - roots</t>
  </si>
  <si>
    <t>herbivore - leaves</t>
  </si>
  <si>
    <t>herbivores - seeds</t>
  </si>
  <si>
    <t>herbivore</t>
  </si>
  <si>
    <t>soil feeders</t>
  </si>
  <si>
    <t>litter feeder</t>
  </si>
  <si>
    <t>parasite</t>
  </si>
  <si>
    <t>pollen feeder</t>
  </si>
  <si>
    <t>nectar feeder</t>
  </si>
  <si>
    <t>predator</t>
  </si>
  <si>
    <t>wood feeder</t>
  </si>
  <si>
    <t>parasitoide</t>
  </si>
  <si>
    <t>100</t>
  </si>
  <si>
    <t>maybe we should split into butterflies vs moth, as they have slightly different diets?</t>
  </si>
  <si>
    <t>fresh OM</t>
  </si>
  <si>
    <t>old OM</t>
  </si>
  <si>
    <t>intermediate OM</t>
  </si>
  <si>
    <t>herbivores - sap</t>
  </si>
  <si>
    <t>fungivore</t>
  </si>
  <si>
    <t>microbial grazer</t>
  </si>
  <si>
    <t>herbivore - wood</t>
  </si>
  <si>
    <t>herbivore - general</t>
  </si>
  <si>
    <t>d_coleoptera_adults_carabidae</t>
  </si>
  <si>
    <t>d_coleoptera_adults_staphylinidae</t>
  </si>
  <si>
    <t>d_coleoptera_adults_scarabaeidae</t>
  </si>
  <si>
    <t>d_coleoptera_adults_elateridae</t>
  </si>
  <si>
    <t>d_coleoptera_adults_curculionidae_non_scolytinae</t>
  </si>
  <si>
    <t>d_coleoptera_adults_chrysomelidae</t>
  </si>
  <si>
    <t>d_coleoptera_adults_cerambycidae</t>
  </si>
  <si>
    <t>d_coleoptera_adults_buprestidae</t>
  </si>
  <si>
    <t>d_coleoptera_adults_tenebrionidae</t>
  </si>
  <si>
    <t>d_coleoptera_adults_nitidulidae</t>
  </si>
  <si>
    <t>d_coleoptera_adults_silphidae</t>
  </si>
  <si>
    <t>d_coleoptera_adults_histeridae</t>
  </si>
  <si>
    <t>d_coleoptera_adults_coccinellidae</t>
  </si>
  <si>
    <t>d_coleoptera_adults_geotrupidae</t>
  </si>
  <si>
    <t>d_coleoptera_adults_lucanidae</t>
  </si>
  <si>
    <t>d_coleoptera_adults_meloidae</t>
  </si>
  <si>
    <t>d_coleoptera_adults_lampyridae</t>
  </si>
  <si>
    <t>d_coleoptera_adults_cantharidae</t>
  </si>
  <si>
    <t>d_coleoptera_adults_dermestidae</t>
  </si>
  <si>
    <t>d_coleoptera_adults_ptinidae</t>
  </si>
  <si>
    <t>d_coleoptera_adults_scolytinae</t>
  </si>
  <si>
    <t>d_coleoptera_adults_bruchinae</t>
  </si>
  <si>
    <t>d_diplopoda_oniscomorpha</t>
  </si>
  <si>
    <t>d_diplopoda_siphonophorida</t>
  </si>
  <si>
    <t>d_diplopoda_polydesmida</t>
  </si>
  <si>
    <t>d_diplopoda_julida</t>
  </si>
  <si>
    <t>d_diplopoda_spiromorph</t>
  </si>
  <si>
    <t>d_chilopoda_lithobiomorpha</t>
  </si>
  <si>
    <t>d_chilopoda_geophilomorpha</t>
  </si>
  <si>
    <t>d_chilopoda_scolopendromorpha</t>
  </si>
  <si>
    <t>d_chilopoda_scutigeromorpha</t>
  </si>
  <si>
    <t>d_isopoda_oniscidae</t>
  </si>
  <si>
    <t>d_isopoda_armadillidiidae</t>
  </si>
  <si>
    <t>d_diptera_larvae_predatory</t>
  </si>
  <si>
    <t>d_heteroptera_predators</t>
  </si>
  <si>
    <t>d_heteroptera_herbivores</t>
  </si>
  <si>
    <t>Reduviidae, Nabidae, Anthocoridae, Geocoridae</t>
  </si>
  <si>
    <t>Pentatomidae, Coreidae, Alydidae, Lygaeidae, Miridae</t>
  </si>
  <si>
    <t>short, thick rostrum; often robust or elongated head; sometimes raptorial forelegs</t>
  </si>
  <si>
    <t>long, slender rostrum; smaller head; legs not modified for prey capture</t>
  </si>
  <si>
    <t>Small soft-bodied, posteriorly inserted rostrum, often sessile</t>
  </si>
  <si>
    <t>triangular body shaped, anterior rostrum, strong jumping legs, mobile sap feeders</t>
  </si>
  <si>
    <t>large soldiers with strong mandibles, Africa and Asia only</t>
  </si>
  <si>
    <t>often spines on thorax, only in America and islands (New World)</t>
  </si>
  <si>
    <t>121 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</si>
</sst>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1" xfId="0" applyNumberFormat="1" applyFill="1" applyBorder="1" applyAlignment="1">
      <alignment vertical="center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49" fontId="0" fillId="0" borderId="2" xfId="0" applyNumberFormat="1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NumberFormat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2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1" fillId="9" borderId="0" xfId="0" applyFont="1" applyFill="1" applyAlignment="1">
      <alignment vertical="center"/>
    </xf>
    <xf numFmtId="49" fontId="1" fillId="9" borderId="0" xfId="0" applyNumberFormat="1" applyFont="1" applyFill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B6E9-FF33-43F2-8595-4F1651E1F6DC}">
  <sheetPr>
    <tabColor theme="9" tint="-0.249977111117893"/>
  </sheetPr>
  <dimension ref="A3:AB126"/>
  <sheetViews>
    <sheetView tabSelected="1" zoomScale="70" zoomScaleNormal="70" workbookViewId="0">
      <pane ySplit="800" topLeftCell="A2" activePane="bottomLeft"/>
      <selection activeCell="C1" sqref="C1:H1048576"/>
      <selection pane="bottomLeft" activeCell="E29" sqref="E29"/>
    </sheetView>
  </sheetViews>
  <sheetFormatPr defaultColWidth="9.1796875" defaultRowHeight="14.5" x14ac:dyDescent="0.35"/>
  <cols>
    <col min="1" max="1" width="17" style="52" customWidth="1"/>
    <col min="2" max="2" width="29.81640625" style="83" customWidth="1"/>
    <col min="3" max="3" width="46.08984375" style="83" customWidth="1"/>
    <col min="4" max="4" width="59.90625" style="75" customWidth="1"/>
    <col min="5" max="5" width="40.90625" style="75" customWidth="1"/>
    <col min="6" max="6" width="5.08984375" style="82" customWidth="1"/>
    <col min="7" max="7" width="32.90625" style="75" customWidth="1"/>
    <col min="8" max="8" width="20.36328125" style="52" customWidth="1"/>
    <col min="9" max="9" width="16.54296875" style="52" customWidth="1"/>
    <col min="10" max="10" width="12.81640625" style="52" customWidth="1"/>
    <col min="11" max="11" width="15.7265625" style="52" customWidth="1"/>
    <col min="12" max="12" width="16.90625" style="52" customWidth="1"/>
    <col min="13" max="13" width="18" style="52" customWidth="1"/>
    <col min="14" max="14" width="17" style="52" customWidth="1"/>
    <col min="15" max="15" width="16.90625" style="52" customWidth="1"/>
    <col min="16" max="16" width="18.26953125" style="52" customWidth="1"/>
    <col min="17" max="17" width="15" style="52" customWidth="1"/>
    <col min="18" max="18" width="10.90625" style="52" customWidth="1"/>
    <col min="19" max="19" width="16.54296875" style="52" customWidth="1"/>
    <col min="20" max="20" width="10.1796875" style="52" customWidth="1"/>
    <col min="21" max="21" width="10.26953125" style="52" customWidth="1"/>
    <col min="22" max="22" width="12.08984375" style="52" customWidth="1"/>
    <col min="23" max="23" width="14.26953125" style="52" customWidth="1"/>
    <col min="24" max="24" width="13.36328125" style="52" customWidth="1"/>
    <col min="25" max="25" width="15.6328125" style="52" bestFit="1" customWidth="1"/>
    <col min="26" max="26" width="9.1796875" style="52"/>
    <col min="27" max="27" width="9.1796875" style="53"/>
    <col min="28" max="16384" width="9.1796875" style="52"/>
  </cols>
  <sheetData>
    <row r="3" spans="2:27" x14ac:dyDescent="0.35">
      <c r="B3" s="84" t="s">
        <v>220</v>
      </c>
      <c r="C3" s="84" t="s">
        <v>231</v>
      </c>
      <c r="D3" s="85" t="s">
        <v>212</v>
      </c>
      <c r="E3" s="85" t="s">
        <v>136</v>
      </c>
      <c r="F3" s="86"/>
      <c r="G3" s="87" t="s">
        <v>62</v>
      </c>
      <c r="H3" s="88" t="s">
        <v>241</v>
      </c>
      <c r="I3" s="88" t="s">
        <v>234</v>
      </c>
      <c r="J3" s="88" t="s">
        <v>240</v>
      </c>
      <c r="K3" s="89" t="s">
        <v>236</v>
      </c>
      <c r="L3" s="89" t="s">
        <v>237</v>
      </c>
      <c r="M3" s="89" t="s">
        <v>238</v>
      </c>
      <c r="N3" s="89" t="s">
        <v>253</v>
      </c>
      <c r="O3" s="90" t="s">
        <v>256</v>
      </c>
      <c r="P3" s="89" t="s">
        <v>257</v>
      </c>
      <c r="Q3" s="65" t="s">
        <v>235</v>
      </c>
      <c r="R3" s="65" t="s">
        <v>254</v>
      </c>
      <c r="S3" s="65" t="s">
        <v>255</v>
      </c>
      <c r="T3" s="91" t="s">
        <v>245</v>
      </c>
      <c r="U3" s="91" t="s">
        <v>242</v>
      </c>
      <c r="V3" s="91" t="s">
        <v>247</v>
      </c>
      <c r="W3" s="92" t="s">
        <v>243</v>
      </c>
      <c r="X3" s="92" t="s">
        <v>244</v>
      </c>
      <c r="Y3" s="93" t="s">
        <v>118</v>
      </c>
      <c r="Z3" s="65" t="s">
        <v>117</v>
      </c>
    </row>
    <row r="4" spans="2:27" x14ac:dyDescent="0.35">
      <c r="B4" s="6" t="s">
        <v>0</v>
      </c>
      <c r="C4" s="6" t="s">
        <v>0</v>
      </c>
      <c r="D4" s="54" t="s">
        <v>144</v>
      </c>
      <c r="E4" s="54"/>
      <c r="F4" s="55"/>
      <c r="G4" s="54" t="s">
        <v>68</v>
      </c>
      <c r="H4" s="56">
        <v>35</v>
      </c>
      <c r="I4" s="56">
        <v>25</v>
      </c>
      <c r="J4" s="56">
        <v>40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7">
        <f t="shared" ref="AA4:AA30" si="0">SUM(H4:Z4)</f>
        <v>100</v>
      </c>
    </row>
    <row r="5" spans="2:27" x14ac:dyDescent="0.35">
      <c r="B5" s="7" t="s">
        <v>1</v>
      </c>
      <c r="C5" s="7" t="s">
        <v>1</v>
      </c>
      <c r="D5" s="54" t="s">
        <v>145</v>
      </c>
      <c r="E5" s="54"/>
      <c r="F5" s="55"/>
      <c r="G5" s="54" t="s">
        <v>118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6">
        <v>100</v>
      </c>
      <c r="Z5" s="54"/>
      <c r="AA5" s="57">
        <f t="shared" si="0"/>
        <v>100</v>
      </c>
    </row>
    <row r="6" spans="2:27" x14ac:dyDescent="0.35">
      <c r="B6" s="2" t="s">
        <v>2</v>
      </c>
      <c r="C6" s="58" t="s">
        <v>138</v>
      </c>
      <c r="D6" s="59" t="s">
        <v>301</v>
      </c>
      <c r="E6" s="59"/>
      <c r="F6" s="60"/>
      <c r="G6" s="59" t="s">
        <v>140</v>
      </c>
      <c r="H6" s="59"/>
      <c r="I6" s="59"/>
      <c r="J6" s="59"/>
      <c r="K6" s="59"/>
      <c r="L6" s="59"/>
      <c r="M6" s="59"/>
      <c r="N6" s="59"/>
      <c r="O6" s="59"/>
      <c r="P6" s="59"/>
      <c r="Q6" s="59">
        <v>100</v>
      </c>
      <c r="R6" s="59"/>
      <c r="S6" s="59"/>
      <c r="T6" s="59"/>
      <c r="U6" s="59"/>
      <c r="V6" s="59"/>
      <c r="W6" s="59"/>
      <c r="X6" s="59"/>
      <c r="Y6" s="59"/>
      <c r="Z6" s="59"/>
      <c r="AA6" s="57">
        <f t="shared" si="0"/>
        <v>100</v>
      </c>
    </row>
    <row r="7" spans="2:27" x14ac:dyDescent="0.35">
      <c r="B7" s="2"/>
      <c r="C7" s="58" t="s">
        <v>139</v>
      </c>
      <c r="D7" s="59" t="s">
        <v>208</v>
      </c>
      <c r="E7" s="59"/>
      <c r="F7" s="60"/>
      <c r="G7" s="59" t="s">
        <v>141</v>
      </c>
      <c r="H7" s="59"/>
      <c r="I7" s="59"/>
      <c r="J7" s="59"/>
      <c r="K7" s="59"/>
      <c r="L7" s="59"/>
      <c r="M7" s="59">
        <v>100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7">
        <f t="shared" si="0"/>
        <v>100</v>
      </c>
    </row>
    <row r="8" spans="2:27" x14ac:dyDescent="0.35">
      <c r="B8" s="2"/>
      <c r="C8" s="58" t="s">
        <v>142</v>
      </c>
      <c r="D8" s="59" t="s">
        <v>146</v>
      </c>
      <c r="E8" s="59"/>
      <c r="F8" s="60"/>
      <c r="G8" s="59" t="s">
        <v>131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7">
        <f t="shared" si="0"/>
        <v>0</v>
      </c>
    </row>
    <row r="9" spans="2:27" x14ac:dyDescent="0.35">
      <c r="B9" s="2"/>
      <c r="C9" s="58" t="s">
        <v>72</v>
      </c>
      <c r="D9" s="59" t="s">
        <v>147</v>
      </c>
      <c r="E9" s="59"/>
      <c r="F9" s="60"/>
      <c r="G9" s="59" t="s">
        <v>120</v>
      </c>
      <c r="H9" s="59"/>
      <c r="I9" s="59"/>
      <c r="J9" s="59"/>
      <c r="K9" s="59"/>
      <c r="L9" s="59"/>
      <c r="M9" s="59"/>
      <c r="N9" s="61">
        <v>30</v>
      </c>
      <c r="O9" s="59"/>
      <c r="P9" s="59"/>
      <c r="Q9" s="59"/>
      <c r="R9" s="59"/>
      <c r="S9" s="61"/>
      <c r="T9" s="61">
        <v>50</v>
      </c>
      <c r="U9" s="59"/>
      <c r="V9" s="59"/>
      <c r="W9" s="59"/>
      <c r="X9" s="61">
        <v>20</v>
      </c>
      <c r="Y9" s="59"/>
      <c r="Z9" s="59"/>
      <c r="AA9" s="57">
        <f t="shared" si="0"/>
        <v>100</v>
      </c>
    </row>
    <row r="10" spans="2:27" x14ac:dyDescent="0.35">
      <c r="B10" s="2"/>
      <c r="C10" s="58" t="s">
        <v>73</v>
      </c>
      <c r="D10" s="52" t="s">
        <v>148</v>
      </c>
      <c r="E10" s="52"/>
      <c r="F10" s="62"/>
      <c r="G10" s="52" t="s">
        <v>54</v>
      </c>
      <c r="T10" s="52">
        <v>100</v>
      </c>
      <c r="AA10" s="57">
        <f t="shared" si="0"/>
        <v>100</v>
      </c>
    </row>
    <row r="11" spans="2:27" x14ac:dyDescent="0.35">
      <c r="B11" s="2"/>
      <c r="C11" s="58" t="s">
        <v>74</v>
      </c>
      <c r="D11" s="52" t="s">
        <v>149</v>
      </c>
      <c r="E11" s="52"/>
      <c r="F11" s="62"/>
      <c r="G11" s="52" t="s">
        <v>54</v>
      </c>
      <c r="T11" s="52">
        <v>100</v>
      </c>
      <c r="AA11" s="57">
        <f t="shared" si="0"/>
        <v>100</v>
      </c>
    </row>
    <row r="12" spans="2:27" x14ac:dyDescent="0.35">
      <c r="B12" s="2"/>
      <c r="C12" s="58" t="s">
        <v>75</v>
      </c>
      <c r="D12" s="52" t="s">
        <v>150</v>
      </c>
      <c r="E12" s="52"/>
      <c r="F12" s="62"/>
      <c r="G12" s="52" t="s">
        <v>120</v>
      </c>
      <c r="H12" s="59"/>
      <c r="I12" s="59"/>
      <c r="J12" s="59"/>
      <c r="K12" s="59"/>
      <c r="L12" s="59"/>
      <c r="M12" s="59"/>
      <c r="N12" s="61">
        <v>30</v>
      </c>
      <c r="O12" s="59"/>
      <c r="P12" s="59"/>
      <c r="Q12" s="59"/>
      <c r="R12" s="59"/>
      <c r="S12" s="61"/>
      <c r="T12" s="61">
        <v>50</v>
      </c>
      <c r="U12" s="59"/>
      <c r="V12" s="59"/>
      <c r="W12" s="59"/>
      <c r="X12" s="61">
        <v>20</v>
      </c>
      <c r="AA12" s="57">
        <f t="shared" si="0"/>
        <v>100</v>
      </c>
    </row>
    <row r="13" spans="2:27" x14ac:dyDescent="0.35">
      <c r="B13" s="2"/>
      <c r="C13" s="58" t="s">
        <v>76</v>
      </c>
      <c r="D13" s="52" t="s">
        <v>151</v>
      </c>
      <c r="E13" s="52"/>
      <c r="F13" s="62"/>
      <c r="G13" s="52" t="s">
        <v>54</v>
      </c>
      <c r="T13" s="52">
        <v>100</v>
      </c>
      <c r="AA13" s="57">
        <f t="shared" si="0"/>
        <v>100</v>
      </c>
    </row>
    <row r="14" spans="2:27" x14ac:dyDescent="0.35">
      <c r="B14" s="2"/>
      <c r="C14" s="58" t="s">
        <v>77</v>
      </c>
      <c r="D14" s="52" t="s">
        <v>152</v>
      </c>
      <c r="E14" s="52"/>
      <c r="F14" s="62"/>
      <c r="G14" s="52" t="s">
        <v>54</v>
      </c>
      <c r="T14" s="52">
        <v>100</v>
      </c>
      <c r="AA14" s="57">
        <f t="shared" si="0"/>
        <v>100</v>
      </c>
    </row>
    <row r="15" spans="2:27" x14ac:dyDescent="0.35">
      <c r="B15" s="2"/>
      <c r="C15" s="58" t="s">
        <v>78</v>
      </c>
      <c r="D15" s="52" t="s">
        <v>153</v>
      </c>
      <c r="E15" s="52"/>
      <c r="F15" s="62"/>
      <c r="G15" s="52" t="s">
        <v>54</v>
      </c>
      <c r="T15" s="52">
        <v>100</v>
      </c>
      <c r="AA15" s="57">
        <f t="shared" si="0"/>
        <v>100</v>
      </c>
    </row>
    <row r="16" spans="2:27" x14ac:dyDescent="0.35">
      <c r="B16" s="6"/>
      <c r="C16" s="25" t="s">
        <v>107</v>
      </c>
      <c r="D16" s="63"/>
      <c r="E16" s="63"/>
      <c r="F16" s="64"/>
      <c r="G16" s="63" t="s">
        <v>131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57">
        <f t="shared" si="0"/>
        <v>0</v>
      </c>
    </row>
    <row r="17" spans="2:27" x14ac:dyDescent="0.35">
      <c r="B17" s="2" t="s">
        <v>3</v>
      </c>
      <c r="C17" s="58" t="s">
        <v>79</v>
      </c>
      <c r="D17" s="52" t="s">
        <v>154</v>
      </c>
      <c r="E17" s="52"/>
      <c r="F17" s="62"/>
      <c r="G17" s="52" t="s">
        <v>52</v>
      </c>
      <c r="L17" s="52">
        <v>100</v>
      </c>
      <c r="AA17" s="57">
        <f t="shared" si="0"/>
        <v>100</v>
      </c>
    </row>
    <row r="18" spans="2:27" x14ac:dyDescent="0.35">
      <c r="B18" s="2"/>
      <c r="C18" s="58" t="s">
        <v>137</v>
      </c>
      <c r="D18" s="52" t="s">
        <v>155</v>
      </c>
      <c r="E18" s="52"/>
      <c r="F18" s="62"/>
      <c r="G18" s="52" t="s">
        <v>53</v>
      </c>
      <c r="V18" s="52">
        <v>100</v>
      </c>
      <c r="AA18" s="57">
        <f t="shared" si="0"/>
        <v>100</v>
      </c>
    </row>
    <row r="19" spans="2:27" x14ac:dyDescent="0.35">
      <c r="B19" s="2"/>
      <c r="C19" s="58" t="s">
        <v>80</v>
      </c>
      <c r="D19" s="52" t="s">
        <v>156</v>
      </c>
      <c r="E19" s="52"/>
      <c r="F19" s="62"/>
      <c r="G19" s="52" t="s">
        <v>51</v>
      </c>
      <c r="V19" s="52">
        <v>100</v>
      </c>
      <c r="AA19" s="57">
        <f t="shared" si="0"/>
        <v>100</v>
      </c>
    </row>
    <row r="20" spans="2:27" x14ac:dyDescent="0.35">
      <c r="B20" s="2"/>
      <c r="C20" s="58" t="s">
        <v>81</v>
      </c>
      <c r="D20" s="52" t="s">
        <v>157</v>
      </c>
      <c r="E20" s="52"/>
      <c r="F20" s="62"/>
      <c r="G20" s="52" t="s">
        <v>132</v>
      </c>
      <c r="W20" s="52">
        <v>50</v>
      </c>
      <c r="X20" s="52">
        <v>50</v>
      </c>
      <c r="AA20" s="57">
        <f t="shared" si="0"/>
        <v>100</v>
      </c>
    </row>
    <row r="21" spans="2:27" x14ac:dyDescent="0.35">
      <c r="B21" s="2"/>
      <c r="C21" s="58" t="s">
        <v>82</v>
      </c>
      <c r="D21" s="52" t="s">
        <v>158</v>
      </c>
      <c r="E21" s="52"/>
      <c r="F21" s="62"/>
      <c r="G21" s="52" t="s">
        <v>54</v>
      </c>
      <c r="T21" s="52">
        <v>100</v>
      </c>
      <c r="AA21" s="57">
        <f t="shared" si="0"/>
        <v>100</v>
      </c>
    </row>
    <row r="22" spans="2:27" x14ac:dyDescent="0.35">
      <c r="B22" s="2"/>
      <c r="C22" s="58" t="s">
        <v>83</v>
      </c>
      <c r="D22" s="52" t="s">
        <v>159</v>
      </c>
      <c r="E22" s="52"/>
      <c r="F22" s="62"/>
      <c r="G22" s="52" t="s">
        <v>133</v>
      </c>
      <c r="T22" s="52">
        <v>70</v>
      </c>
      <c r="X22" s="52">
        <v>30</v>
      </c>
      <c r="AA22" s="57">
        <f t="shared" si="0"/>
        <v>100</v>
      </c>
    </row>
    <row r="23" spans="2:27" x14ac:dyDescent="0.35">
      <c r="B23" s="2"/>
      <c r="C23" s="58" t="s">
        <v>84</v>
      </c>
      <c r="D23" s="52" t="s">
        <v>160</v>
      </c>
      <c r="E23" s="52"/>
      <c r="F23" s="62"/>
      <c r="G23" s="52" t="s">
        <v>53</v>
      </c>
      <c r="V23" s="52">
        <v>100</v>
      </c>
      <c r="AA23" s="57">
        <f t="shared" si="0"/>
        <v>100</v>
      </c>
    </row>
    <row r="24" spans="2:27" x14ac:dyDescent="0.35">
      <c r="B24" s="6"/>
      <c r="C24" s="25" t="s">
        <v>130</v>
      </c>
      <c r="D24" s="63" t="s">
        <v>161</v>
      </c>
      <c r="E24" s="63"/>
      <c r="F24" s="64"/>
      <c r="G24" s="63" t="s">
        <v>117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57">
        <f t="shared" si="0"/>
        <v>0</v>
      </c>
    </row>
    <row r="25" spans="2:27" x14ac:dyDescent="0.35">
      <c r="B25" s="2" t="s">
        <v>4</v>
      </c>
      <c r="C25" s="58" t="s">
        <v>85</v>
      </c>
      <c r="D25" s="52" t="s">
        <v>162</v>
      </c>
      <c r="E25" s="52"/>
      <c r="F25" s="62"/>
      <c r="G25" s="52" t="s">
        <v>55</v>
      </c>
      <c r="J25" s="52">
        <v>100</v>
      </c>
      <c r="AA25" s="57">
        <f t="shared" si="0"/>
        <v>100</v>
      </c>
    </row>
    <row r="26" spans="2:27" x14ac:dyDescent="0.35">
      <c r="B26" s="2"/>
      <c r="C26" s="58" t="s">
        <v>86</v>
      </c>
      <c r="D26" s="52" t="s">
        <v>163</v>
      </c>
      <c r="E26" s="52"/>
      <c r="F26" s="62"/>
      <c r="G26" s="52" t="s">
        <v>143</v>
      </c>
      <c r="J26" s="52">
        <v>80</v>
      </c>
      <c r="O26" s="52">
        <v>20</v>
      </c>
      <c r="AA26" s="57">
        <f t="shared" si="0"/>
        <v>100</v>
      </c>
    </row>
    <row r="27" spans="2:27" x14ac:dyDescent="0.35">
      <c r="B27" s="2"/>
      <c r="C27" s="58" t="s">
        <v>87</v>
      </c>
      <c r="D27" s="59" t="s">
        <v>300</v>
      </c>
      <c r="E27" s="59"/>
      <c r="F27" s="60"/>
      <c r="G27" s="59" t="s">
        <v>140</v>
      </c>
      <c r="H27" s="59"/>
      <c r="I27" s="59"/>
      <c r="J27" s="59"/>
      <c r="K27" s="59"/>
      <c r="L27" s="59"/>
      <c r="M27" s="59"/>
      <c r="N27" s="59"/>
      <c r="O27" s="59"/>
      <c r="P27" s="59"/>
      <c r="Q27" s="61">
        <v>100</v>
      </c>
      <c r="R27" s="61"/>
      <c r="S27" s="59"/>
      <c r="T27" s="59"/>
      <c r="U27" s="59"/>
      <c r="V27" s="59"/>
      <c r="W27" s="59"/>
      <c r="X27" s="59"/>
      <c r="Y27" s="59"/>
      <c r="Z27" s="59"/>
      <c r="AA27" s="57">
        <f t="shared" si="0"/>
        <v>100</v>
      </c>
    </row>
    <row r="28" spans="2:27" x14ac:dyDescent="0.35">
      <c r="B28" s="2"/>
      <c r="C28" s="58" t="s">
        <v>88</v>
      </c>
      <c r="D28" s="52" t="s">
        <v>164</v>
      </c>
      <c r="E28" s="52"/>
      <c r="F28" s="62"/>
      <c r="G28" s="52" t="s">
        <v>134</v>
      </c>
      <c r="H28" s="52">
        <v>50</v>
      </c>
      <c r="O28" s="52">
        <v>50</v>
      </c>
      <c r="AA28" s="57">
        <f t="shared" si="0"/>
        <v>100</v>
      </c>
    </row>
    <row r="29" spans="2:27" x14ac:dyDescent="0.35">
      <c r="B29" s="2"/>
      <c r="C29" s="58" t="s">
        <v>89</v>
      </c>
      <c r="D29" s="52" t="s">
        <v>209</v>
      </c>
      <c r="E29" s="52"/>
      <c r="F29" s="62"/>
      <c r="G29" s="52" t="s">
        <v>56</v>
      </c>
      <c r="O29" s="52">
        <v>100</v>
      </c>
      <c r="AA29" s="57">
        <f t="shared" si="0"/>
        <v>100</v>
      </c>
    </row>
    <row r="30" spans="2:27" x14ac:dyDescent="0.35">
      <c r="B30" s="6"/>
      <c r="C30" s="25" t="s">
        <v>108</v>
      </c>
      <c r="D30" s="65"/>
      <c r="E30" s="65"/>
      <c r="F30" s="66"/>
      <c r="G30" s="65" t="s">
        <v>117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57">
        <f t="shared" si="0"/>
        <v>0</v>
      </c>
    </row>
    <row r="31" spans="2:27" x14ac:dyDescent="0.35">
      <c r="B31" s="22" t="s">
        <v>5</v>
      </c>
      <c r="C31" s="51" t="s">
        <v>258</v>
      </c>
      <c r="D31" s="67"/>
      <c r="E31" s="67"/>
      <c r="F31" s="68"/>
      <c r="G31" s="67"/>
      <c r="H31" s="69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>
        <v>100</v>
      </c>
      <c r="U31" s="67"/>
      <c r="V31" s="67"/>
      <c r="W31" s="67"/>
      <c r="X31" s="67"/>
      <c r="Y31" s="67"/>
      <c r="Z31" s="67"/>
      <c r="AA31" s="57">
        <f t="shared" ref="AA31:AA51" si="1">SUM(H31:Z31)</f>
        <v>100</v>
      </c>
    </row>
    <row r="32" spans="2:27" x14ac:dyDescent="0.35">
      <c r="B32" s="13"/>
      <c r="C32" s="51" t="s">
        <v>259</v>
      </c>
      <c r="D32" s="67"/>
      <c r="E32" s="67"/>
      <c r="F32" s="68"/>
      <c r="G32" s="67"/>
      <c r="H32" s="69"/>
      <c r="I32" s="67">
        <v>20</v>
      </c>
      <c r="J32" s="67"/>
      <c r="L32" s="67"/>
      <c r="M32" s="67"/>
      <c r="N32" s="67"/>
      <c r="O32" s="67"/>
      <c r="P32" s="67"/>
      <c r="Q32" s="67"/>
      <c r="R32" s="67"/>
      <c r="S32" s="67"/>
      <c r="T32" s="67">
        <v>80</v>
      </c>
      <c r="U32" s="67"/>
      <c r="V32" s="67"/>
      <c r="W32" s="67"/>
      <c r="X32" s="67"/>
      <c r="Y32" s="67"/>
      <c r="Z32" s="67"/>
      <c r="AA32" s="57">
        <f t="shared" si="1"/>
        <v>100</v>
      </c>
    </row>
    <row r="33" spans="2:27" x14ac:dyDescent="0.35">
      <c r="B33" s="13"/>
      <c r="C33" s="51" t="s">
        <v>260</v>
      </c>
      <c r="D33" s="67"/>
      <c r="E33" s="67"/>
      <c r="F33" s="68"/>
      <c r="G33" s="67"/>
      <c r="H33" s="69">
        <v>40</v>
      </c>
      <c r="I33" s="67">
        <v>40</v>
      </c>
      <c r="J33" s="67"/>
      <c r="L33" s="67">
        <v>20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57">
        <f t="shared" si="1"/>
        <v>100</v>
      </c>
    </row>
    <row r="34" spans="2:27" x14ac:dyDescent="0.35">
      <c r="B34" s="13"/>
      <c r="C34" s="70" t="s">
        <v>261</v>
      </c>
      <c r="D34" s="67"/>
      <c r="E34" s="67"/>
      <c r="F34" s="68"/>
      <c r="G34" s="67"/>
      <c r="H34" s="69"/>
      <c r="I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>
        <v>60</v>
      </c>
      <c r="X34" s="67">
        <v>40</v>
      </c>
      <c r="Y34" s="67"/>
      <c r="Z34" s="67"/>
      <c r="AA34" s="57">
        <f t="shared" si="1"/>
        <v>100</v>
      </c>
    </row>
    <row r="35" spans="2:27" x14ac:dyDescent="0.35">
      <c r="B35" s="13"/>
      <c r="C35" s="51" t="s">
        <v>262</v>
      </c>
      <c r="D35" s="67"/>
      <c r="E35" s="67"/>
      <c r="F35" s="68"/>
      <c r="G35" s="67"/>
      <c r="H35" s="67"/>
      <c r="I35" s="67"/>
      <c r="K35" s="67">
        <v>10</v>
      </c>
      <c r="L35" s="67">
        <v>70</v>
      </c>
      <c r="M35" s="67">
        <v>20</v>
      </c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57">
        <f t="shared" si="1"/>
        <v>100</v>
      </c>
    </row>
    <row r="36" spans="2:27" x14ac:dyDescent="0.35">
      <c r="B36" s="13"/>
      <c r="C36" s="51" t="s">
        <v>263</v>
      </c>
      <c r="D36" s="67"/>
      <c r="E36" s="67"/>
      <c r="F36" s="68"/>
      <c r="G36" s="67"/>
      <c r="H36" s="69"/>
      <c r="I36" s="67"/>
      <c r="K36" s="67"/>
      <c r="L36" s="67">
        <v>90</v>
      </c>
      <c r="M36" s="67">
        <v>10</v>
      </c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57">
        <f t="shared" si="1"/>
        <v>100</v>
      </c>
    </row>
    <row r="37" spans="2:27" x14ac:dyDescent="0.35">
      <c r="B37" s="13"/>
      <c r="C37" s="70" t="s">
        <v>264</v>
      </c>
      <c r="D37" s="67"/>
      <c r="E37" s="67"/>
      <c r="F37" s="68"/>
      <c r="G37" s="67"/>
      <c r="H37" s="69"/>
      <c r="J37" s="67"/>
      <c r="K37" s="67"/>
      <c r="L37" s="67">
        <v>10</v>
      </c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>
        <v>30</v>
      </c>
      <c r="X37" s="67">
        <v>60</v>
      </c>
      <c r="Y37" s="67"/>
      <c r="Z37" s="67"/>
      <c r="AA37" s="57">
        <f t="shared" si="1"/>
        <v>100</v>
      </c>
    </row>
    <row r="38" spans="2:27" x14ac:dyDescent="0.35">
      <c r="B38" s="13"/>
      <c r="C38" s="70" t="s">
        <v>265</v>
      </c>
      <c r="D38" s="67"/>
      <c r="E38" s="67"/>
      <c r="F38" s="68"/>
      <c r="G38" s="67"/>
      <c r="H38" s="69"/>
      <c r="J38" s="67"/>
      <c r="K38" s="67"/>
      <c r="L38" s="67">
        <v>70</v>
      </c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>
        <v>20</v>
      </c>
      <c r="X38" s="67">
        <v>10</v>
      </c>
      <c r="Y38" s="67"/>
      <c r="Z38" s="67"/>
      <c r="AA38" s="57">
        <f t="shared" si="1"/>
        <v>100</v>
      </c>
    </row>
    <row r="39" spans="2:27" x14ac:dyDescent="0.35">
      <c r="B39" s="13"/>
      <c r="C39" s="51" t="s">
        <v>266</v>
      </c>
      <c r="D39" s="67"/>
      <c r="E39" s="67"/>
      <c r="F39" s="68"/>
      <c r="G39" s="67"/>
      <c r="H39" s="69">
        <v>20</v>
      </c>
      <c r="I39" s="67">
        <v>70</v>
      </c>
      <c r="J39" s="67"/>
      <c r="K39" s="67"/>
      <c r="L39" s="67"/>
      <c r="M39" s="67">
        <v>10</v>
      </c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57">
        <f t="shared" si="1"/>
        <v>100</v>
      </c>
    </row>
    <row r="40" spans="2:27" x14ac:dyDescent="0.35">
      <c r="B40" s="13"/>
      <c r="C40" s="70" t="s">
        <v>267</v>
      </c>
      <c r="D40" s="67"/>
      <c r="E40" s="67"/>
      <c r="F40" s="68"/>
      <c r="G40" s="67"/>
      <c r="H40" s="69"/>
      <c r="I40" s="67">
        <v>30</v>
      </c>
      <c r="J40" s="67"/>
      <c r="K40" s="67"/>
      <c r="L40" s="67"/>
      <c r="M40" s="67"/>
      <c r="N40" s="67">
        <v>50</v>
      </c>
      <c r="O40" s="67"/>
      <c r="P40" s="67"/>
      <c r="Q40" s="67"/>
      <c r="R40" s="67">
        <v>10</v>
      </c>
      <c r="S40" s="67"/>
      <c r="T40" s="67"/>
      <c r="U40" s="67"/>
      <c r="V40" s="67"/>
      <c r="W40" s="67"/>
      <c r="X40" s="67"/>
      <c r="Y40" s="67"/>
      <c r="Z40" s="67"/>
      <c r="AA40" s="57">
        <f t="shared" si="1"/>
        <v>90</v>
      </c>
    </row>
    <row r="41" spans="2:27" x14ac:dyDescent="0.35">
      <c r="B41" s="13"/>
      <c r="C41" s="70" t="s">
        <v>268</v>
      </c>
      <c r="D41" s="67"/>
      <c r="E41" s="67"/>
      <c r="F41" s="68"/>
      <c r="G41" s="67"/>
      <c r="H41" s="69"/>
      <c r="I41" s="67">
        <v>70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>
        <v>30</v>
      </c>
      <c r="U41" s="67"/>
      <c r="V41" s="67"/>
      <c r="W41" s="67"/>
      <c r="X41" s="67"/>
      <c r="Y41" s="67"/>
      <c r="Z41" s="67"/>
      <c r="AA41" s="57">
        <f t="shared" si="1"/>
        <v>100</v>
      </c>
    </row>
    <row r="42" spans="2:27" x14ac:dyDescent="0.35">
      <c r="B42" s="13"/>
      <c r="C42" s="51" t="s">
        <v>269</v>
      </c>
      <c r="D42" s="67"/>
      <c r="E42" s="67"/>
      <c r="F42" s="68"/>
      <c r="G42" s="67"/>
      <c r="H42" s="69"/>
      <c r="I42" s="67">
        <v>10</v>
      </c>
      <c r="K42" s="67"/>
      <c r="L42" s="67"/>
      <c r="M42" s="67"/>
      <c r="N42" s="67"/>
      <c r="O42" s="67"/>
      <c r="P42" s="67"/>
      <c r="Q42" s="67"/>
      <c r="R42" s="67"/>
      <c r="S42" s="67"/>
      <c r="T42" s="67">
        <v>90</v>
      </c>
      <c r="U42" s="67"/>
      <c r="V42" s="67"/>
      <c r="W42" s="67"/>
      <c r="X42" s="67"/>
      <c r="Y42" s="67"/>
      <c r="Z42" s="67"/>
      <c r="AA42" s="57">
        <f t="shared" si="1"/>
        <v>100</v>
      </c>
    </row>
    <row r="43" spans="2:27" x14ac:dyDescent="0.35">
      <c r="B43" s="13"/>
      <c r="C43" s="70" t="s">
        <v>270</v>
      </c>
      <c r="D43" s="67"/>
      <c r="E43" s="67"/>
      <c r="F43" s="68"/>
      <c r="G43" s="67"/>
      <c r="H43" s="69"/>
      <c r="I43" s="67"/>
      <c r="K43" s="67"/>
      <c r="L43" s="67"/>
      <c r="M43" s="67"/>
      <c r="N43" s="67"/>
      <c r="O43" s="67"/>
      <c r="P43" s="67"/>
      <c r="Q43" s="67"/>
      <c r="R43" s="67"/>
      <c r="S43" s="67"/>
      <c r="T43" s="67">
        <v>100</v>
      </c>
      <c r="U43" s="67"/>
      <c r="V43" s="67"/>
      <c r="W43" s="67"/>
      <c r="X43" s="67"/>
      <c r="Y43" s="67"/>
      <c r="Z43" s="67"/>
      <c r="AA43" s="57">
        <f t="shared" si="1"/>
        <v>100</v>
      </c>
    </row>
    <row r="44" spans="2:27" x14ac:dyDescent="0.35">
      <c r="B44" s="13"/>
      <c r="C44" s="70" t="s">
        <v>271</v>
      </c>
      <c r="D44" s="67"/>
      <c r="E44" s="67"/>
      <c r="F44" s="68"/>
      <c r="G44" s="67"/>
      <c r="H44" s="69">
        <v>20</v>
      </c>
      <c r="I44" s="67">
        <v>80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57">
        <f t="shared" si="1"/>
        <v>100</v>
      </c>
    </row>
    <row r="45" spans="2:27" x14ac:dyDescent="0.35">
      <c r="B45" s="13"/>
      <c r="C45" s="70" t="s">
        <v>272</v>
      </c>
      <c r="D45" s="67"/>
      <c r="E45" s="67"/>
      <c r="F45" s="68"/>
      <c r="G45" s="67"/>
      <c r="H45" s="69"/>
      <c r="I45" s="67"/>
      <c r="K45" s="67"/>
      <c r="L45" s="67"/>
      <c r="M45" s="67"/>
      <c r="N45" s="67">
        <v>70</v>
      </c>
      <c r="O45" s="67"/>
      <c r="P45" s="67"/>
      <c r="Q45" s="67"/>
      <c r="R45" s="67"/>
      <c r="S45" s="67"/>
      <c r="T45" s="67"/>
      <c r="U45" s="67"/>
      <c r="V45" s="67"/>
      <c r="W45" s="67"/>
      <c r="X45" s="67">
        <v>30</v>
      </c>
      <c r="Y45" s="67"/>
      <c r="Z45" s="67"/>
      <c r="AA45" s="57">
        <f t="shared" si="1"/>
        <v>100</v>
      </c>
    </row>
    <row r="46" spans="2:27" x14ac:dyDescent="0.35">
      <c r="B46" s="13"/>
      <c r="C46" s="70" t="s">
        <v>273</v>
      </c>
      <c r="D46" s="67"/>
      <c r="E46" s="67"/>
      <c r="F46" s="68"/>
      <c r="G46" s="67"/>
      <c r="H46" s="69"/>
      <c r="I46" s="67"/>
      <c r="J46" s="67"/>
      <c r="K46" s="67"/>
      <c r="L46" s="67">
        <v>80</v>
      </c>
      <c r="M46" s="67"/>
      <c r="N46" s="67"/>
      <c r="O46" s="67"/>
      <c r="P46" s="67"/>
      <c r="Q46" s="67"/>
      <c r="R46" s="67"/>
      <c r="S46" s="67"/>
      <c r="U46" s="67"/>
      <c r="V46" s="67"/>
      <c r="W46" s="67">
        <v>20</v>
      </c>
      <c r="X46" s="67"/>
      <c r="Y46" s="67"/>
      <c r="Z46" s="67"/>
      <c r="AA46" s="57">
        <f t="shared" si="1"/>
        <v>100</v>
      </c>
    </row>
    <row r="47" spans="2:27" x14ac:dyDescent="0.35">
      <c r="B47" s="13"/>
      <c r="C47" s="70" t="s">
        <v>274</v>
      </c>
      <c r="D47" s="67"/>
      <c r="E47" s="67"/>
      <c r="F47" s="68"/>
      <c r="G47" s="67"/>
      <c r="H47" s="69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>
        <v>20</v>
      </c>
      <c r="U47" s="67"/>
      <c r="V47" s="67"/>
      <c r="W47" s="67">
        <v>10</v>
      </c>
      <c r="X47" s="67">
        <v>70</v>
      </c>
      <c r="Y47" s="67"/>
      <c r="Z47" s="67"/>
      <c r="AA47" s="57">
        <f t="shared" si="1"/>
        <v>100</v>
      </c>
    </row>
    <row r="48" spans="2:27" x14ac:dyDescent="0.35">
      <c r="B48" s="13"/>
      <c r="C48" s="70" t="s">
        <v>275</v>
      </c>
      <c r="D48" s="67"/>
      <c r="E48" s="67"/>
      <c r="F48" s="68"/>
      <c r="G48" s="67"/>
      <c r="H48" s="69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>
        <v>70</v>
      </c>
      <c r="U48" s="67"/>
      <c r="V48" s="67"/>
      <c r="W48" s="67">
        <v>10</v>
      </c>
      <c r="X48" s="67">
        <v>20</v>
      </c>
      <c r="Y48" s="67"/>
      <c r="Z48" s="67"/>
      <c r="AA48" s="57">
        <f t="shared" si="1"/>
        <v>100</v>
      </c>
    </row>
    <row r="49" spans="2:27" x14ac:dyDescent="0.35">
      <c r="B49" s="13"/>
      <c r="C49" s="70" t="s">
        <v>276</v>
      </c>
      <c r="D49" s="67"/>
      <c r="E49" s="67"/>
      <c r="F49" s="68"/>
      <c r="G49" s="67"/>
      <c r="H49" s="69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>
        <v>70</v>
      </c>
      <c r="X49" s="67">
        <v>30</v>
      </c>
      <c r="Y49" s="67"/>
      <c r="Z49" s="67"/>
      <c r="AA49" s="57">
        <f t="shared" si="1"/>
        <v>100</v>
      </c>
    </row>
    <row r="50" spans="2:27" x14ac:dyDescent="0.35">
      <c r="B50" s="13"/>
      <c r="C50" s="70" t="s">
        <v>277</v>
      </c>
      <c r="D50" s="67"/>
      <c r="E50" s="67"/>
      <c r="F50" s="68"/>
      <c r="G50" s="67"/>
      <c r="H50" s="69"/>
      <c r="I50" s="67">
        <v>50</v>
      </c>
      <c r="J50" s="67"/>
      <c r="K50" s="67"/>
      <c r="L50" s="67"/>
      <c r="M50" s="67">
        <v>20</v>
      </c>
      <c r="N50" s="67"/>
      <c r="O50" s="67">
        <v>30</v>
      </c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57">
        <f t="shared" si="1"/>
        <v>100</v>
      </c>
    </row>
    <row r="51" spans="2:27" x14ac:dyDescent="0.35">
      <c r="B51" s="13"/>
      <c r="C51" s="51" t="s">
        <v>278</v>
      </c>
      <c r="D51" s="67"/>
      <c r="E51" s="67"/>
      <c r="F51" s="68"/>
      <c r="G51" s="67"/>
      <c r="H51" s="69"/>
      <c r="J51" s="67"/>
      <c r="K51" s="67"/>
      <c r="L51" s="67"/>
      <c r="M51" s="67"/>
      <c r="N51" s="67"/>
      <c r="O51" s="67">
        <v>70</v>
      </c>
      <c r="P51" s="67"/>
      <c r="Q51" s="67"/>
      <c r="R51" s="67">
        <v>30</v>
      </c>
      <c r="S51" s="67"/>
      <c r="T51" s="67"/>
      <c r="U51" s="67"/>
      <c r="V51" s="67"/>
      <c r="W51" s="67"/>
      <c r="X51" s="67"/>
      <c r="Y51" s="67"/>
      <c r="Z51" s="67"/>
      <c r="AA51" s="57">
        <f t="shared" si="1"/>
        <v>100</v>
      </c>
    </row>
    <row r="52" spans="2:27" x14ac:dyDescent="0.35">
      <c r="B52" s="13"/>
      <c r="C52" s="51" t="s">
        <v>279</v>
      </c>
      <c r="D52" s="67"/>
      <c r="E52" s="67"/>
      <c r="F52" s="68"/>
      <c r="G52" s="67"/>
      <c r="H52" s="67"/>
      <c r="J52" s="67"/>
      <c r="K52" s="67"/>
      <c r="L52" s="67"/>
      <c r="M52" s="67">
        <v>80</v>
      </c>
      <c r="N52" s="67"/>
      <c r="O52" s="67"/>
      <c r="P52" s="67"/>
      <c r="Q52" s="67"/>
      <c r="R52" s="67"/>
      <c r="S52" s="67"/>
      <c r="T52" s="67"/>
      <c r="U52" s="67"/>
      <c r="V52" s="67"/>
      <c r="W52" s="67">
        <v>20</v>
      </c>
      <c r="X52" s="67"/>
      <c r="Y52" s="67"/>
      <c r="Z52" s="67"/>
      <c r="AA52" s="57">
        <f t="shared" ref="AA52:AA69" si="2">SUM(H52:Z52)</f>
        <v>100</v>
      </c>
    </row>
    <row r="53" spans="2:27" x14ac:dyDescent="0.35">
      <c r="B53" s="6"/>
      <c r="C53" s="25" t="s">
        <v>222</v>
      </c>
      <c r="D53" s="65"/>
      <c r="E53" s="65"/>
      <c r="F53" s="66"/>
      <c r="G53" s="65" t="s">
        <v>117</v>
      </c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57">
        <f t="shared" si="2"/>
        <v>0</v>
      </c>
    </row>
    <row r="54" spans="2:27" x14ac:dyDescent="0.35">
      <c r="B54" s="2" t="s">
        <v>6</v>
      </c>
      <c r="C54" s="58" t="s">
        <v>90</v>
      </c>
      <c r="D54" s="52" t="s">
        <v>166</v>
      </c>
      <c r="E54" s="52"/>
      <c r="F54" s="62"/>
      <c r="G54" s="52" t="s">
        <v>60</v>
      </c>
      <c r="I54" s="52">
        <v>20</v>
      </c>
      <c r="K54" s="52">
        <v>80</v>
      </c>
      <c r="AA54" s="57">
        <f t="shared" si="2"/>
        <v>100</v>
      </c>
    </row>
    <row r="55" spans="2:27" x14ac:dyDescent="0.35">
      <c r="B55" s="2"/>
      <c r="C55" s="58" t="s">
        <v>91</v>
      </c>
      <c r="D55" s="52" t="s">
        <v>167</v>
      </c>
      <c r="E55" s="52"/>
      <c r="F55" s="62"/>
      <c r="G55" s="52" t="s">
        <v>58</v>
      </c>
      <c r="K55" s="52">
        <v>100</v>
      </c>
      <c r="AA55" s="57">
        <f t="shared" si="2"/>
        <v>100</v>
      </c>
    </row>
    <row r="56" spans="2:27" x14ac:dyDescent="0.35">
      <c r="B56" s="2"/>
      <c r="C56" s="58" t="s">
        <v>92</v>
      </c>
      <c r="D56" s="52" t="s">
        <v>213</v>
      </c>
      <c r="E56" s="52"/>
      <c r="F56" s="62"/>
      <c r="G56" s="52" t="s">
        <v>59</v>
      </c>
      <c r="T56" s="52">
        <v>100</v>
      </c>
      <c r="AA56" s="57">
        <f t="shared" si="2"/>
        <v>100</v>
      </c>
    </row>
    <row r="57" spans="2:27" x14ac:dyDescent="0.35">
      <c r="B57" s="13"/>
      <c r="C57" s="51" t="s">
        <v>93</v>
      </c>
      <c r="D57" s="67" t="s">
        <v>214</v>
      </c>
      <c r="E57" s="67"/>
      <c r="F57" s="68"/>
      <c r="G57" s="67" t="s">
        <v>61</v>
      </c>
      <c r="H57" s="67"/>
      <c r="I57" s="67"/>
      <c r="J57" s="67"/>
      <c r="K57" s="67"/>
      <c r="L57" s="67"/>
      <c r="M57" s="67"/>
      <c r="N57" s="67"/>
      <c r="O57" s="67"/>
      <c r="P57" s="67">
        <v>100</v>
      </c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57">
        <f t="shared" si="2"/>
        <v>100</v>
      </c>
    </row>
    <row r="58" spans="2:27" x14ac:dyDescent="0.35">
      <c r="B58" s="6"/>
      <c r="C58" s="25" t="s">
        <v>230</v>
      </c>
      <c r="D58" s="65"/>
      <c r="E58" s="65"/>
      <c r="F58" s="66"/>
      <c r="G58" s="65" t="s">
        <v>117</v>
      </c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57">
        <f t="shared" si="2"/>
        <v>0</v>
      </c>
    </row>
    <row r="59" spans="2:27" x14ac:dyDescent="0.35">
      <c r="B59" s="7" t="s">
        <v>7</v>
      </c>
      <c r="C59" s="7" t="s">
        <v>7</v>
      </c>
      <c r="D59" s="71" t="s">
        <v>168</v>
      </c>
      <c r="E59" s="71"/>
      <c r="F59" s="72"/>
      <c r="G59" s="71" t="s">
        <v>118</v>
      </c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>
        <v>100</v>
      </c>
      <c r="Z59" s="71"/>
      <c r="AA59" s="57">
        <f t="shared" si="2"/>
        <v>100</v>
      </c>
    </row>
    <row r="60" spans="2:27" x14ac:dyDescent="0.35">
      <c r="B60" s="22" t="s">
        <v>8</v>
      </c>
      <c r="C60" s="22" t="s">
        <v>8</v>
      </c>
      <c r="D60" s="73"/>
      <c r="E60" s="73"/>
      <c r="F60" s="74"/>
      <c r="G60" s="73" t="s">
        <v>54</v>
      </c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>
        <v>100</v>
      </c>
      <c r="U60" s="73"/>
      <c r="V60" s="73"/>
      <c r="W60" s="73"/>
      <c r="X60" s="73"/>
      <c r="Y60" s="73"/>
      <c r="Z60" s="73"/>
      <c r="AA60" s="57">
        <f t="shared" si="2"/>
        <v>100</v>
      </c>
    </row>
    <row r="61" spans="2:27" x14ac:dyDescent="0.35">
      <c r="B61" s="6" t="s">
        <v>9</v>
      </c>
      <c r="C61" s="6" t="s">
        <v>9</v>
      </c>
      <c r="D61" s="54" t="s">
        <v>169</v>
      </c>
      <c r="E61" s="54"/>
      <c r="F61" s="55"/>
      <c r="G61" s="54" t="s">
        <v>54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65">
        <v>100</v>
      </c>
      <c r="U61" s="54"/>
      <c r="V61" s="54"/>
      <c r="W61" s="54"/>
      <c r="X61" s="54"/>
      <c r="Y61" s="54"/>
      <c r="Z61" s="54"/>
      <c r="AA61" s="57">
        <f t="shared" si="2"/>
        <v>100</v>
      </c>
    </row>
    <row r="62" spans="2:27" x14ac:dyDescent="0.35">
      <c r="B62" s="6" t="s">
        <v>10</v>
      </c>
      <c r="C62" s="6" t="s">
        <v>10</v>
      </c>
      <c r="D62" s="54" t="s">
        <v>170</v>
      </c>
      <c r="E62" s="54"/>
      <c r="F62" s="55"/>
      <c r="G62" s="54" t="s">
        <v>54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7">
        <f t="shared" si="2"/>
        <v>0</v>
      </c>
    </row>
    <row r="63" spans="2:27" x14ac:dyDescent="0.35">
      <c r="B63" s="6" t="s">
        <v>11</v>
      </c>
      <c r="C63" s="6" t="s">
        <v>11</v>
      </c>
      <c r="D63" s="54" t="s">
        <v>171</v>
      </c>
      <c r="E63" s="54"/>
      <c r="F63" s="55"/>
      <c r="G63" s="54" t="s">
        <v>120</v>
      </c>
      <c r="H63" s="56">
        <v>30</v>
      </c>
      <c r="I63" s="54"/>
      <c r="J63" s="54"/>
      <c r="K63" s="54"/>
      <c r="L63" s="56">
        <v>5</v>
      </c>
      <c r="M63" s="54"/>
      <c r="N63" s="54"/>
      <c r="O63" s="54"/>
      <c r="P63" s="54"/>
      <c r="Q63" s="54"/>
      <c r="R63" s="56">
        <v>30</v>
      </c>
      <c r="S63" s="54"/>
      <c r="T63" s="65">
        <v>35</v>
      </c>
      <c r="U63" s="54"/>
      <c r="V63" s="54"/>
      <c r="W63" s="54"/>
      <c r="X63" s="54"/>
      <c r="Y63" s="54"/>
      <c r="Z63" s="54"/>
      <c r="AA63" s="57">
        <f t="shared" si="2"/>
        <v>100</v>
      </c>
    </row>
    <row r="64" spans="2:27" x14ac:dyDescent="0.35">
      <c r="B64" s="6" t="s">
        <v>12</v>
      </c>
      <c r="C64" s="6" t="s">
        <v>12</v>
      </c>
      <c r="D64" s="54" t="s">
        <v>172</v>
      </c>
      <c r="E64" s="54"/>
      <c r="F64" s="55"/>
      <c r="G64" s="54" t="s">
        <v>54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65">
        <v>100</v>
      </c>
      <c r="U64" s="54"/>
      <c r="V64" s="54"/>
      <c r="W64" s="54"/>
      <c r="X64" s="54"/>
      <c r="Y64" s="54"/>
      <c r="Z64" s="54"/>
      <c r="AA64" s="57">
        <f t="shared" si="2"/>
        <v>100</v>
      </c>
    </row>
    <row r="65" spans="1:27" x14ac:dyDescent="0.35">
      <c r="B65" s="6" t="s">
        <v>13</v>
      </c>
      <c r="C65" s="6" t="s">
        <v>13</v>
      </c>
      <c r="D65" s="54" t="s">
        <v>173</v>
      </c>
      <c r="E65" s="54"/>
      <c r="F65" s="55"/>
      <c r="G65" s="54" t="s">
        <v>54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65">
        <v>100</v>
      </c>
      <c r="U65" s="54"/>
      <c r="V65" s="54"/>
      <c r="W65" s="54"/>
      <c r="X65" s="54"/>
      <c r="Y65" s="54"/>
      <c r="Z65" s="54"/>
      <c r="AA65" s="57">
        <f t="shared" si="2"/>
        <v>100</v>
      </c>
    </row>
    <row r="66" spans="1:27" x14ac:dyDescent="0.35">
      <c r="B66" s="6" t="s">
        <v>14</v>
      </c>
      <c r="C66" s="6" t="s">
        <v>14</v>
      </c>
      <c r="D66" s="54" t="s">
        <v>174</v>
      </c>
      <c r="E66" s="54"/>
      <c r="F66" s="55"/>
      <c r="G66" s="54" t="s">
        <v>54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65">
        <v>100</v>
      </c>
      <c r="U66" s="54"/>
      <c r="V66" s="54"/>
      <c r="W66" s="54"/>
      <c r="X66" s="54"/>
      <c r="Y66" s="54"/>
      <c r="Z66" s="54"/>
      <c r="AA66" s="57">
        <f t="shared" si="2"/>
        <v>100</v>
      </c>
    </row>
    <row r="67" spans="1:27" s="75" customFormat="1" x14ac:dyDescent="0.35">
      <c r="A67" s="52"/>
      <c r="B67" s="6" t="s">
        <v>15</v>
      </c>
      <c r="C67" s="6" t="s">
        <v>15</v>
      </c>
      <c r="D67" s="54" t="s">
        <v>175</v>
      </c>
      <c r="E67" s="54"/>
      <c r="F67" s="55"/>
      <c r="G67" s="54" t="s">
        <v>54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65">
        <v>100</v>
      </c>
      <c r="U67" s="54"/>
      <c r="V67" s="54"/>
      <c r="W67" s="54"/>
      <c r="X67" s="54"/>
      <c r="Y67" s="54"/>
      <c r="Z67" s="54"/>
      <c r="AA67" s="57">
        <f t="shared" si="2"/>
        <v>100</v>
      </c>
    </row>
    <row r="68" spans="1:27" s="75" customFormat="1" x14ac:dyDescent="0.35">
      <c r="A68" s="52"/>
      <c r="B68" s="7" t="s">
        <v>16</v>
      </c>
      <c r="C68" s="7" t="s">
        <v>16</v>
      </c>
      <c r="D68" s="76" t="s">
        <v>176</v>
      </c>
      <c r="E68" s="76"/>
      <c r="F68" s="77"/>
      <c r="G68" s="76" t="s">
        <v>54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65">
        <v>100</v>
      </c>
      <c r="U68" s="76"/>
      <c r="V68" s="76"/>
      <c r="W68" s="76"/>
      <c r="X68" s="76"/>
      <c r="Y68" s="76"/>
      <c r="Z68" s="76"/>
      <c r="AA68" s="57">
        <f t="shared" si="2"/>
        <v>100</v>
      </c>
    </row>
    <row r="69" spans="1:27" s="75" customFormat="1" x14ac:dyDescent="0.35">
      <c r="A69" s="52"/>
      <c r="B69" s="6" t="s">
        <v>17</v>
      </c>
      <c r="C69" s="7" t="s">
        <v>17</v>
      </c>
      <c r="D69" s="54" t="s">
        <v>177</v>
      </c>
      <c r="E69" s="54"/>
      <c r="F69" s="55"/>
      <c r="G69" s="54" t="s">
        <v>54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65">
        <v>100</v>
      </c>
      <c r="U69" s="54"/>
      <c r="V69" s="54"/>
      <c r="W69" s="54"/>
      <c r="X69" s="54"/>
      <c r="Y69" s="54"/>
      <c r="Z69" s="54"/>
      <c r="AA69" s="57">
        <f t="shared" si="2"/>
        <v>100</v>
      </c>
    </row>
    <row r="70" spans="1:27" s="75" customFormat="1" x14ac:dyDescent="0.35">
      <c r="A70" s="52"/>
      <c r="B70" s="22" t="s">
        <v>18</v>
      </c>
      <c r="C70" s="51" t="s">
        <v>280</v>
      </c>
      <c r="D70" s="57"/>
      <c r="E70" s="57"/>
      <c r="F70" s="78"/>
      <c r="G70" s="57"/>
      <c r="H70" s="79">
        <v>60</v>
      </c>
      <c r="I70" s="79">
        <v>30</v>
      </c>
      <c r="J70" s="57"/>
      <c r="K70" s="57"/>
      <c r="L70" s="57"/>
      <c r="M70" s="57"/>
      <c r="N70" s="57"/>
      <c r="O70" s="57"/>
      <c r="P70" s="57"/>
      <c r="Q70" s="57"/>
      <c r="R70" s="57"/>
      <c r="S70" s="79">
        <v>10</v>
      </c>
      <c r="T70" s="67"/>
      <c r="U70" s="57"/>
      <c r="V70" s="57"/>
      <c r="W70" s="57"/>
      <c r="X70" s="57"/>
      <c r="Y70" s="57"/>
      <c r="Z70" s="57"/>
      <c r="AA70" s="57"/>
    </row>
    <row r="71" spans="1:27" s="75" customFormat="1" x14ac:dyDescent="0.35">
      <c r="A71" s="52"/>
      <c r="B71" s="13"/>
      <c r="C71" s="51" t="s">
        <v>281</v>
      </c>
      <c r="D71" s="57"/>
      <c r="E71" s="57"/>
      <c r="F71" s="78"/>
      <c r="G71" s="57"/>
      <c r="H71" s="79">
        <v>30</v>
      </c>
      <c r="I71" s="57"/>
      <c r="J71" s="57"/>
      <c r="K71" s="57"/>
      <c r="L71" s="57"/>
      <c r="M71" s="57"/>
      <c r="N71" s="57"/>
      <c r="O71" s="57"/>
      <c r="P71" s="57"/>
      <c r="Q71" s="57"/>
      <c r="R71" s="79">
        <v>60</v>
      </c>
      <c r="S71" s="79">
        <v>10</v>
      </c>
      <c r="T71" s="67"/>
      <c r="U71" s="57"/>
      <c r="V71" s="57"/>
      <c r="W71" s="57"/>
      <c r="X71" s="57"/>
      <c r="Y71" s="57"/>
      <c r="Z71" s="57"/>
      <c r="AA71" s="57"/>
    </row>
    <row r="72" spans="1:27" s="75" customFormat="1" x14ac:dyDescent="0.35">
      <c r="A72" s="52"/>
      <c r="B72" s="13"/>
      <c r="C72" s="51" t="s">
        <v>282</v>
      </c>
      <c r="D72" s="57"/>
      <c r="E72" s="57"/>
      <c r="F72" s="78"/>
      <c r="G72" s="57"/>
      <c r="H72" s="79">
        <v>50</v>
      </c>
      <c r="I72" s="79">
        <v>40</v>
      </c>
      <c r="J72" s="57"/>
      <c r="K72" s="57"/>
      <c r="L72" s="57"/>
      <c r="M72" s="57"/>
      <c r="N72" s="57"/>
      <c r="O72" s="57"/>
      <c r="P72" s="57"/>
      <c r="Q72" s="57"/>
      <c r="R72" s="57"/>
      <c r="S72" s="79">
        <v>10</v>
      </c>
      <c r="T72" s="67"/>
      <c r="U72" s="57"/>
      <c r="V72" s="57"/>
      <c r="W72" s="57"/>
      <c r="X72" s="57"/>
      <c r="Y72" s="57"/>
      <c r="Z72" s="57"/>
      <c r="AA72" s="57"/>
    </row>
    <row r="73" spans="1:27" s="75" customFormat="1" x14ac:dyDescent="0.35">
      <c r="A73" s="52"/>
      <c r="B73" s="13"/>
      <c r="C73" s="51" t="s">
        <v>283</v>
      </c>
      <c r="D73" s="57"/>
      <c r="E73" s="57"/>
      <c r="F73" s="78"/>
      <c r="G73" s="57"/>
      <c r="H73" s="79">
        <v>40</v>
      </c>
      <c r="I73" s="79">
        <v>40</v>
      </c>
      <c r="J73" s="79">
        <v>15</v>
      </c>
      <c r="K73" s="57"/>
      <c r="L73" s="57"/>
      <c r="M73" s="57"/>
      <c r="N73" s="57"/>
      <c r="O73" s="57"/>
      <c r="P73" s="57"/>
      <c r="Q73" s="57"/>
      <c r="R73" s="57"/>
      <c r="S73" s="79">
        <v>5</v>
      </c>
      <c r="T73" s="67"/>
      <c r="U73" s="57"/>
      <c r="V73" s="57"/>
      <c r="W73" s="57"/>
      <c r="X73" s="57"/>
      <c r="Y73" s="57"/>
      <c r="Z73" s="57"/>
      <c r="AA73" s="57"/>
    </row>
    <row r="74" spans="1:27" s="75" customFormat="1" x14ac:dyDescent="0.35">
      <c r="A74" s="52"/>
      <c r="B74" s="13"/>
      <c r="C74" s="51" t="s">
        <v>284</v>
      </c>
      <c r="D74" s="57"/>
      <c r="E74" s="57"/>
      <c r="F74" s="78"/>
      <c r="G74" s="57"/>
      <c r="H74" s="79">
        <v>50</v>
      </c>
      <c r="I74" s="79">
        <v>30</v>
      </c>
      <c r="J74" s="57"/>
      <c r="K74" s="57"/>
      <c r="L74" s="57"/>
      <c r="M74" s="57"/>
      <c r="N74" s="57"/>
      <c r="O74" s="79">
        <v>10</v>
      </c>
      <c r="P74" s="57"/>
      <c r="Q74" s="57"/>
      <c r="R74" s="57"/>
      <c r="S74" s="79">
        <v>10</v>
      </c>
      <c r="T74" s="67"/>
      <c r="U74" s="57"/>
      <c r="V74" s="57"/>
      <c r="W74" s="57"/>
      <c r="X74" s="57"/>
      <c r="Y74" s="57"/>
      <c r="Z74" s="57"/>
      <c r="AA74" s="57"/>
    </row>
    <row r="75" spans="1:27" s="75" customFormat="1" x14ac:dyDescent="0.35">
      <c r="A75" s="52"/>
      <c r="B75" s="6"/>
      <c r="C75" s="51" t="s">
        <v>224</v>
      </c>
      <c r="D75" s="54"/>
      <c r="E75" s="54"/>
      <c r="F75" s="55"/>
      <c r="G75" s="54" t="s">
        <v>68</v>
      </c>
      <c r="H75" s="56">
        <v>95</v>
      </c>
      <c r="I75" s="54"/>
      <c r="J75" s="54"/>
      <c r="K75" s="54"/>
      <c r="L75" s="54"/>
      <c r="M75" s="54"/>
      <c r="N75" s="54"/>
      <c r="O75" s="54"/>
      <c r="P75" s="54"/>
      <c r="Q75" s="54"/>
      <c r="R75" s="56">
        <v>5</v>
      </c>
      <c r="S75" s="54"/>
      <c r="T75" s="54"/>
      <c r="U75" s="54"/>
      <c r="V75" s="54"/>
      <c r="W75" s="54"/>
      <c r="X75" s="54"/>
      <c r="Y75" s="54"/>
      <c r="Z75" s="54"/>
      <c r="AA75" s="57">
        <f>SUM(H75:Z75)</f>
        <v>100</v>
      </c>
    </row>
    <row r="76" spans="1:27" x14ac:dyDescent="0.35">
      <c r="B76" s="22" t="s">
        <v>19</v>
      </c>
      <c r="C76" s="80" t="s">
        <v>285</v>
      </c>
      <c r="D76" s="73"/>
      <c r="E76" s="73"/>
      <c r="F76" s="74"/>
      <c r="G76" s="73" t="s">
        <v>54</v>
      </c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>
        <v>100</v>
      </c>
      <c r="U76" s="73"/>
      <c r="V76" s="73"/>
      <c r="W76" s="73"/>
      <c r="X76" s="73"/>
      <c r="Y76" s="73"/>
      <c r="Z76" s="73"/>
      <c r="AA76" s="57">
        <f>SUM(H76:Z76)</f>
        <v>100</v>
      </c>
    </row>
    <row r="77" spans="1:27" s="75" customFormat="1" x14ac:dyDescent="0.35">
      <c r="A77" s="52"/>
      <c r="B77" s="13"/>
      <c r="C77" s="51" t="s">
        <v>286</v>
      </c>
      <c r="D77" s="57"/>
      <c r="E77" s="57"/>
      <c r="F77" s="78"/>
      <c r="G77" s="57"/>
      <c r="H77" s="79"/>
      <c r="I77" s="57"/>
      <c r="J77" s="57"/>
      <c r="K77" s="57"/>
      <c r="L77" s="57"/>
      <c r="M77" s="57"/>
      <c r="N77" s="57"/>
      <c r="O77" s="57"/>
      <c r="P77" s="57"/>
      <c r="Q77" s="57"/>
      <c r="R77" s="79"/>
      <c r="S77" s="57"/>
      <c r="T77" s="79">
        <v>100</v>
      </c>
      <c r="U77" s="57"/>
      <c r="V77" s="57"/>
      <c r="W77" s="57"/>
      <c r="X77" s="57"/>
      <c r="Y77" s="57"/>
      <c r="Z77" s="57"/>
      <c r="AA77" s="57"/>
    </row>
    <row r="78" spans="1:27" s="75" customFormat="1" x14ac:dyDescent="0.35">
      <c r="A78" s="52"/>
      <c r="B78" s="13"/>
      <c r="C78" s="51" t="s">
        <v>287</v>
      </c>
      <c r="D78" s="57"/>
      <c r="E78" s="57"/>
      <c r="F78" s="78"/>
      <c r="G78" s="57"/>
      <c r="H78" s="79"/>
      <c r="I78" s="57"/>
      <c r="J78" s="57"/>
      <c r="K78" s="57"/>
      <c r="L78" s="57"/>
      <c r="M78" s="57"/>
      <c r="N78" s="57"/>
      <c r="O78" s="57"/>
      <c r="P78" s="57"/>
      <c r="Q78" s="57"/>
      <c r="R78" s="79"/>
      <c r="S78" s="57"/>
      <c r="T78" s="79">
        <v>100</v>
      </c>
      <c r="U78" s="57"/>
      <c r="V78" s="57"/>
      <c r="W78" s="57"/>
      <c r="X78" s="57"/>
      <c r="Y78" s="57"/>
      <c r="Z78" s="57"/>
      <c r="AA78" s="57"/>
    </row>
    <row r="79" spans="1:27" s="75" customFormat="1" x14ac:dyDescent="0.35">
      <c r="A79" s="52"/>
      <c r="B79" s="13"/>
      <c r="C79" s="51" t="s">
        <v>288</v>
      </c>
      <c r="D79" s="57"/>
      <c r="E79" s="57"/>
      <c r="F79" s="78"/>
      <c r="G79" s="57"/>
      <c r="H79" s="79"/>
      <c r="I79" s="57"/>
      <c r="J79" s="57"/>
      <c r="K79" s="57"/>
      <c r="L79" s="57"/>
      <c r="M79" s="57"/>
      <c r="N79" s="57"/>
      <c r="O79" s="57"/>
      <c r="P79" s="57"/>
      <c r="Q79" s="57"/>
      <c r="R79" s="79"/>
      <c r="S79" s="57"/>
      <c r="T79" s="79">
        <v>100</v>
      </c>
      <c r="U79" s="57"/>
      <c r="V79" s="57"/>
      <c r="W79" s="57"/>
      <c r="X79" s="57"/>
      <c r="Y79" s="57"/>
      <c r="Z79" s="57"/>
      <c r="AA79" s="57"/>
    </row>
    <row r="80" spans="1:27" s="75" customFormat="1" x14ac:dyDescent="0.35">
      <c r="A80" s="52"/>
      <c r="B80" s="6"/>
      <c r="C80" s="25" t="s">
        <v>225</v>
      </c>
      <c r="D80" s="54"/>
      <c r="E80" s="54"/>
      <c r="F80" s="55"/>
      <c r="G80" s="54"/>
      <c r="H80" s="56"/>
      <c r="I80" s="54"/>
      <c r="J80" s="54"/>
      <c r="K80" s="54"/>
      <c r="L80" s="54"/>
      <c r="M80" s="54"/>
      <c r="N80" s="54"/>
      <c r="O80" s="54"/>
      <c r="P80" s="54"/>
      <c r="Q80" s="54"/>
      <c r="R80" s="56"/>
      <c r="S80" s="54"/>
      <c r="T80" s="56">
        <v>100</v>
      </c>
      <c r="U80" s="54"/>
      <c r="V80" s="54"/>
      <c r="W80" s="54"/>
      <c r="X80" s="54"/>
      <c r="Y80" s="54"/>
      <c r="Z80" s="54"/>
      <c r="AA80" s="57"/>
    </row>
    <row r="81" spans="1:27" s="75" customFormat="1" x14ac:dyDescent="0.35">
      <c r="A81" s="52"/>
      <c r="B81" s="6" t="s">
        <v>20</v>
      </c>
      <c r="C81" s="6" t="s">
        <v>20</v>
      </c>
      <c r="D81" s="54" t="s">
        <v>178</v>
      </c>
      <c r="E81" s="54"/>
      <c r="F81" s="55"/>
      <c r="G81" s="54" t="s">
        <v>121</v>
      </c>
      <c r="H81" s="56"/>
      <c r="I81" s="56">
        <v>30</v>
      </c>
      <c r="J81" s="54"/>
      <c r="K81" s="54"/>
      <c r="L81" s="54"/>
      <c r="M81" s="54"/>
      <c r="N81" s="54"/>
      <c r="O81" s="54"/>
      <c r="P81" s="54"/>
      <c r="Q81" s="54"/>
      <c r="R81" s="56">
        <v>20</v>
      </c>
      <c r="S81" s="56">
        <v>50</v>
      </c>
      <c r="T81" s="54"/>
      <c r="U81" s="54"/>
      <c r="V81" s="54"/>
      <c r="W81" s="54"/>
      <c r="X81" s="54"/>
      <c r="Y81" s="54"/>
      <c r="Z81" s="54"/>
      <c r="AA81" s="57">
        <f>SUM(H81:Z81)</f>
        <v>100</v>
      </c>
    </row>
    <row r="82" spans="1:27" s="75" customFormat="1" x14ac:dyDescent="0.35">
      <c r="A82" s="52"/>
      <c r="B82" s="7" t="s">
        <v>21</v>
      </c>
      <c r="C82" s="7" t="s">
        <v>21</v>
      </c>
      <c r="D82" s="76" t="s">
        <v>179</v>
      </c>
      <c r="E82" s="76"/>
      <c r="F82" s="77"/>
      <c r="G82" s="76" t="s">
        <v>123</v>
      </c>
      <c r="H82" s="76"/>
      <c r="I82" s="76"/>
      <c r="J82" s="76"/>
      <c r="K82" s="81">
        <v>100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57">
        <f>SUM(H82:Z82)</f>
        <v>100</v>
      </c>
    </row>
    <row r="83" spans="1:27" s="57" customFormat="1" x14ac:dyDescent="0.35">
      <c r="A83" s="67"/>
      <c r="B83" s="13" t="s">
        <v>22</v>
      </c>
      <c r="C83" s="51" t="s">
        <v>289</v>
      </c>
      <c r="D83" s="57" t="s">
        <v>180</v>
      </c>
      <c r="F83" s="78"/>
      <c r="G83" s="57" t="s">
        <v>68</v>
      </c>
      <c r="H83" s="79">
        <v>50</v>
      </c>
      <c r="I83" s="79">
        <v>40</v>
      </c>
      <c r="S83" s="79">
        <v>10</v>
      </c>
      <c r="AA83" s="57">
        <f>SUM(H83:Z83)</f>
        <v>100</v>
      </c>
    </row>
    <row r="84" spans="1:27" s="75" customFormat="1" x14ac:dyDescent="0.35">
      <c r="A84" s="52"/>
      <c r="B84" s="13"/>
      <c r="C84" s="51" t="s">
        <v>290</v>
      </c>
      <c r="D84" s="57"/>
      <c r="E84" s="57"/>
      <c r="F84" s="78"/>
      <c r="G84" s="57"/>
      <c r="H84" s="79">
        <v>50</v>
      </c>
      <c r="I84" s="79">
        <v>40</v>
      </c>
      <c r="J84" s="57"/>
      <c r="K84" s="79"/>
      <c r="L84" s="57"/>
      <c r="M84" s="57"/>
      <c r="N84" s="57"/>
      <c r="O84" s="57"/>
      <c r="P84" s="57"/>
      <c r="Q84" s="57"/>
      <c r="R84" s="57"/>
      <c r="S84" s="79">
        <v>10</v>
      </c>
      <c r="T84" s="57"/>
      <c r="U84" s="57"/>
      <c r="V84" s="57"/>
      <c r="W84" s="57"/>
      <c r="X84" s="57"/>
      <c r="Y84" s="57"/>
      <c r="Z84" s="57"/>
      <c r="AA84" s="57"/>
    </row>
    <row r="85" spans="1:27" s="75" customFormat="1" x14ac:dyDescent="0.35">
      <c r="A85" s="52"/>
      <c r="B85" s="6"/>
      <c r="C85" s="25" t="s">
        <v>226</v>
      </c>
      <c r="D85" s="54"/>
      <c r="E85" s="54"/>
      <c r="F85" s="55"/>
      <c r="G85" s="54"/>
      <c r="H85" s="56">
        <v>45</v>
      </c>
      <c r="I85" s="56">
        <v>35</v>
      </c>
      <c r="J85" s="54"/>
      <c r="K85" s="54"/>
      <c r="L85" s="54"/>
      <c r="M85" s="54"/>
      <c r="N85" s="54"/>
      <c r="O85" s="54"/>
      <c r="P85" s="54"/>
      <c r="Q85" s="54"/>
      <c r="R85" s="56">
        <v>10</v>
      </c>
      <c r="S85" s="56">
        <v>10</v>
      </c>
      <c r="T85" s="54"/>
      <c r="U85" s="54"/>
      <c r="V85" s="54"/>
      <c r="W85" s="54"/>
      <c r="X85" s="54"/>
      <c r="Y85" s="54"/>
      <c r="Z85" s="54"/>
      <c r="AA85" s="57">
        <f t="shared" ref="AA85:AA95" si="3">SUM(H85:Z85)</f>
        <v>100</v>
      </c>
    </row>
    <row r="86" spans="1:27" s="75" customFormat="1" x14ac:dyDescent="0.35">
      <c r="A86" s="52"/>
      <c r="B86" s="6" t="s">
        <v>23</v>
      </c>
      <c r="C86" s="6" t="s">
        <v>23</v>
      </c>
      <c r="D86" s="54" t="s">
        <v>181</v>
      </c>
      <c r="E86" s="54"/>
      <c r="F86" s="55"/>
      <c r="G86" s="54" t="s">
        <v>131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6">
        <v>20</v>
      </c>
      <c r="X86" s="56">
        <v>60</v>
      </c>
      <c r="Y86" s="56">
        <v>20</v>
      </c>
      <c r="Z86" s="54"/>
      <c r="AA86" s="57">
        <f t="shared" si="3"/>
        <v>100</v>
      </c>
    </row>
    <row r="87" spans="1:27" s="75" customFormat="1" x14ac:dyDescent="0.35">
      <c r="A87" s="52"/>
      <c r="B87" s="2" t="s">
        <v>24</v>
      </c>
      <c r="C87" s="58" t="s">
        <v>94</v>
      </c>
      <c r="D87" s="52" t="s">
        <v>215</v>
      </c>
      <c r="E87" s="52"/>
      <c r="F87" s="62"/>
      <c r="G87" s="52" t="s">
        <v>67</v>
      </c>
      <c r="H87" s="52"/>
      <c r="I87" s="52">
        <v>50</v>
      </c>
      <c r="J87" s="52"/>
      <c r="K87" s="52"/>
      <c r="L87" s="52"/>
      <c r="M87" s="52"/>
      <c r="N87" s="52"/>
      <c r="O87" s="52"/>
      <c r="P87" s="52"/>
      <c r="Q87" s="52"/>
      <c r="R87" s="52"/>
      <c r="S87" s="52">
        <v>50</v>
      </c>
      <c r="T87" s="52"/>
      <c r="U87" s="52"/>
      <c r="V87" s="52"/>
      <c r="W87" s="52"/>
      <c r="X87" s="52"/>
      <c r="Y87" s="52"/>
      <c r="Z87" s="52"/>
      <c r="AA87" s="57">
        <f t="shared" si="3"/>
        <v>100</v>
      </c>
    </row>
    <row r="88" spans="1:27" s="75" customFormat="1" x14ac:dyDescent="0.35">
      <c r="A88" s="52"/>
      <c r="B88" s="2"/>
      <c r="C88" s="58" t="s">
        <v>95</v>
      </c>
      <c r="D88" s="52" t="s">
        <v>216</v>
      </c>
      <c r="E88" s="52"/>
      <c r="F88" s="62"/>
      <c r="G88" s="52" t="s">
        <v>66</v>
      </c>
      <c r="H88" s="52"/>
      <c r="I88" s="52">
        <v>30</v>
      </c>
      <c r="J88" s="52"/>
      <c r="K88" s="52">
        <v>70</v>
      </c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7">
        <f t="shared" si="3"/>
        <v>100</v>
      </c>
    </row>
    <row r="89" spans="1:27" s="75" customFormat="1" x14ac:dyDescent="0.35">
      <c r="A89" s="52"/>
      <c r="B89" s="2"/>
      <c r="C89" s="58" t="s">
        <v>96</v>
      </c>
      <c r="D89" s="52" t="s">
        <v>217</v>
      </c>
      <c r="E89" s="52" t="s">
        <v>69</v>
      </c>
      <c r="F89" s="62"/>
      <c r="G89" s="52" t="s">
        <v>68</v>
      </c>
      <c r="H89" s="52"/>
      <c r="I89" s="52">
        <v>100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7">
        <f t="shared" si="3"/>
        <v>100</v>
      </c>
    </row>
    <row r="90" spans="1:27" s="75" customFormat="1" x14ac:dyDescent="0.35">
      <c r="A90" s="52"/>
      <c r="B90" s="2"/>
      <c r="C90" s="58" t="s">
        <v>97</v>
      </c>
      <c r="D90" s="52" t="s">
        <v>182</v>
      </c>
      <c r="E90" s="52" t="s">
        <v>63</v>
      </c>
      <c r="F90" s="62"/>
      <c r="G90" s="52" t="s">
        <v>135</v>
      </c>
      <c r="H90" s="52"/>
      <c r="I90" s="52"/>
      <c r="J90" s="52"/>
      <c r="K90" s="52">
        <v>20</v>
      </c>
      <c r="L90" s="52"/>
      <c r="M90" s="52"/>
      <c r="N90" s="52"/>
      <c r="O90" s="52"/>
      <c r="P90" s="52"/>
      <c r="Q90" s="52"/>
      <c r="R90" s="52">
        <v>20</v>
      </c>
      <c r="S90" s="52">
        <v>60</v>
      </c>
      <c r="T90" s="52"/>
      <c r="U90" s="52"/>
      <c r="V90" s="52"/>
      <c r="W90" s="52"/>
      <c r="X90" s="52"/>
      <c r="Y90" s="52"/>
      <c r="Z90" s="52"/>
      <c r="AA90" s="57">
        <f t="shared" si="3"/>
        <v>100</v>
      </c>
    </row>
    <row r="91" spans="1:27" s="75" customFormat="1" x14ac:dyDescent="0.35">
      <c r="A91" s="52"/>
      <c r="B91" s="2"/>
      <c r="C91" s="58" t="s">
        <v>98</v>
      </c>
      <c r="D91" s="52" t="s">
        <v>218</v>
      </c>
      <c r="E91" s="52" t="s">
        <v>64</v>
      </c>
      <c r="F91" s="62"/>
      <c r="G91" s="52" t="s">
        <v>221</v>
      </c>
      <c r="H91" s="52"/>
      <c r="I91" s="52">
        <v>100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7">
        <f t="shared" si="3"/>
        <v>100</v>
      </c>
    </row>
    <row r="92" spans="1:27" s="75" customFormat="1" x14ac:dyDescent="0.35">
      <c r="A92" s="52"/>
      <c r="B92" s="2"/>
      <c r="C92" s="58" t="s">
        <v>291</v>
      </c>
      <c r="D92" s="52" t="s">
        <v>219</v>
      </c>
      <c r="E92" s="52" t="s">
        <v>65</v>
      </c>
      <c r="F92" s="62"/>
      <c r="G92" s="52" t="s">
        <v>59</v>
      </c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>
        <v>100</v>
      </c>
      <c r="U92" s="52"/>
      <c r="V92" s="52"/>
      <c r="W92" s="52"/>
      <c r="X92" s="52"/>
      <c r="Y92" s="52"/>
      <c r="Z92" s="52"/>
      <c r="AA92" s="57">
        <f t="shared" si="3"/>
        <v>100</v>
      </c>
    </row>
    <row r="93" spans="1:27" s="75" customFormat="1" x14ac:dyDescent="0.35">
      <c r="A93" s="52"/>
      <c r="B93" s="6"/>
      <c r="C93" s="25" t="s">
        <v>100</v>
      </c>
      <c r="D93" s="65"/>
      <c r="E93" s="65" t="s">
        <v>57</v>
      </c>
      <c r="F93" s="66"/>
      <c r="G93" s="65" t="s">
        <v>131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57">
        <f t="shared" si="3"/>
        <v>0</v>
      </c>
    </row>
    <row r="94" spans="1:27" s="75" customFormat="1" x14ac:dyDescent="0.35">
      <c r="A94" s="52"/>
      <c r="B94" s="6" t="s">
        <v>25</v>
      </c>
      <c r="C94" s="6" t="s">
        <v>25</v>
      </c>
      <c r="D94" s="54"/>
      <c r="E94" s="54"/>
      <c r="F94" s="55"/>
      <c r="G94" s="54" t="s">
        <v>68</v>
      </c>
      <c r="H94" s="54"/>
      <c r="I94" s="54">
        <v>100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7">
        <f t="shared" si="3"/>
        <v>100</v>
      </c>
    </row>
    <row r="95" spans="1:27" s="57" customFormat="1" x14ac:dyDescent="0.35">
      <c r="A95" s="67"/>
      <c r="B95" s="13" t="s">
        <v>26</v>
      </c>
      <c r="C95" s="51" t="s">
        <v>292</v>
      </c>
      <c r="D95" s="57" t="s">
        <v>296</v>
      </c>
      <c r="E95" s="57" t="s">
        <v>294</v>
      </c>
      <c r="F95" s="78"/>
      <c r="G95" s="57" t="s">
        <v>54</v>
      </c>
      <c r="T95" s="79">
        <v>100</v>
      </c>
      <c r="AA95" s="57">
        <f t="shared" si="3"/>
        <v>100</v>
      </c>
    </row>
    <row r="96" spans="1:27" s="57" customFormat="1" x14ac:dyDescent="0.35">
      <c r="A96" s="67"/>
      <c r="B96" s="13"/>
      <c r="C96" s="51" t="s">
        <v>293</v>
      </c>
      <c r="D96" s="57" t="s">
        <v>297</v>
      </c>
      <c r="E96" s="57" t="s">
        <v>295</v>
      </c>
      <c r="F96" s="78"/>
      <c r="G96" s="57" t="s">
        <v>122</v>
      </c>
      <c r="L96" s="79">
        <v>60</v>
      </c>
      <c r="M96" s="79">
        <v>10</v>
      </c>
      <c r="N96" s="79">
        <v>30</v>
      </c>
      <c r="T96" s="79"/>
    </row>
    <row r="97" spans="1:28" s="75" customFormat="1" x14ac:dyDescent="0.35">
      <c r="A97" s="52"/>
      <c r="B97" s="6"/>
      <c r="C97" s="25" t="s">
        <v>227</v>
      </c>
      <c r="D97" s="54"/>
      <c r="E97" s="54"/>
      <c r="F97" s="55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6"/>
      <c r="U97" s="54"/>
      <c r="V97" s="54"/>
      <c r="W97" s="54"/>
      <c r="X97" s="54"/>
      <c r="Y97" s="54"/>
      <c r="Z97" s="54"/>
      <c r="AA97" s="57">
        <f>SUM(H97:Z97)</f>
        <v>0</v>
      </c>
    </row>
    <row r="98" spans="1:28" s="75" customFormat="1" x14ac:dyDescent="0.35">
      <c r="A98" s="52"/>
      <c r="B98" s="13" t="s">
        <v>27</v>
      </c>
      <c r="C98" s="51" t="s">
        <v>101</v>
      </c>
      <c r="D98" s="57" t="s">
        <v>298</v>
      </c>
      <c r="E98" s="57"/>
      <c r="F98" s="78"/>
      <c r="G98" s="57" t="s">
        <v>122</v>
      </c>
      <c r="H98" s="57"/>
      <c r="I98" s="57"/>
      <c r="J98" s="57"/>
      <c r="K98" s="57"/>
      <c r="L98" s="57"/>
      <c r="M98" s="57"/>
      <c r="N98" s="79">
        <v>100</v>
      </c>
      <c r="O98" s="57"/>
      <c r="P98" s="79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>
        <f>SUM(H98:Z98)</f>
        <v>100</v>
      </c>
    </row>
    <row r="99" spans="1:28" s="75" customFormat="1" x14ac:dyDescent="0.35">
      <c r="A99" s="52"/>
      <c r="B99" s="6"/>
      <c r="C99" s="25" t="s">
        <v>102</v>
      </c>
      <c r="D99" s="54" t="s">
        <v>299</v>
      </c>
      <c r="E99" s="54"/>
      <c r="F99" s="55"/>
      <c r="G99" s="54" t="s">
        <v>122</v>
      </c>
      <c r="H99" s="54"/>
      <c r="I99" s="54"/>
      <c r="J99" s="54"/>
      <c r="K99" s="54"/>
      <c r="L99" s="54"/>
      <c r="M99" s="54"/>
      <c r="N99" s="56">
        <v>100</v>
      </c>
      <c r="O99" s="54"/>
      <c r="P99" s="56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7">
        <f>SUM(H99:Z99)</f>
        <v>100</v>
      </c>
    </row>
    <row r="100" spans="1:28" s="75" customFormat="1" x14ac:dyDescent="0.35">
      <c r="A100" s="52"/>
      <c r="B100" s="6" t="s">
        <v>28</v>
      </c>
      <c r="C100" s="6" t="s">
        <v>28</v>
      </c>
      <c r="D100" s="54" t="s">
        <v>185</v>
      </c>
      <c r="E100" s="54"/>
      <c r="F100" s="55"/>
      <c r="G100" s="54" t="s">
        <v>120</v>
      </c>
      <c r="H100" s="54"/>
      <c r="I100" s="54">
        <v>20</v>
      </c>
      <c r="J100" s="54"/>
      <c r="K100" s="54"/>
      <c r="L100" s="54">
        <v>35</v>
      </c>
      <c r="M100" s="54"/>
      <c r="N100" s="54"/>
      <c r="O100" s="54"/>
      <c r="P100" s="54"/>
      <c r="Q100" s="54"/>
      <c r="R100" s="54">
        <v>5</v>
      </c>
      <c r="S100" s="54"/>
      <c r="T100" s="54">
        <v>40</v>
      </c>
      <c r="U100" s="54"/>
      <c r="V100" s="54"/>
      <c r="W100" s="56"/>
      <c r="X100" s="56"/>
      <c r="Y100" s="54"/>
      <c r="Z100" s="54"/>
      <c r="AA100" s="57">
        <f>SUM(H100:Z100)</f>
        <v>100</v>
      </c>
    </row>
    <row r="101" spans="1:28" s="75" customFormat="1" x14ac:dyDescent="0.35">
      <c r="A101" s="52"/>
      <c r="B101" s="6" t="s">
        <v>29</v>
      </c>
      <c r="C101" s="6" t="s">
        <v>29</v>
      </c>
      <c r="D101" s="54" t="s">
        <v>186</v>
      </c>
      <c r="E101" s="54"/>
      <c r="F101" s="55"/>
      <c r="G101" s="54" t="s">
        <v>122</v>
      </c>
      <c r="H101" s="54"/>
      <c r="I101" s="54"/>
      <c r="J101" s="54"/>
      <c r="K101" s="54"/>
      <c r="L101" s="54"/>
      <c r="M101" s="54"/>
      <c r="N101" s="54"/>
      <c r="O101" s="54"/>
      <c r="P101" s="56">
        <v>100</v>
      </c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7">
        <f t="shared" ref="AA101:AA124" si="4">SUM(H101:Z101)</f>
        <v>100</v>
      </c>
    </row>
    <row r="102" spans="1:28" s="75" customFormat="1" x14ac:dyDescent="0.35">
      <c r="A102" s="52"/>
      <c r="B102" s="6" t="s">
        <v>30</v>
      </c>
      <c r="C102" s="6" t="s">
        <v>30</v>
      </c>
      <c r="D102" s="54"/>
      <c r="E102" s="54"/>
      <c r="F102" s="55"/>
      <c r="G102" s="54" t="s">
        <v>124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6">
        <v>50</v>
      </c>
      <c r="X102" s="56">
        <v>50</v>
      </c>
      <c r="Y102" s="54"/>
      <c r="Z102" s="54"/>
      <c r="AA102" s="57">
        <f t="shared" si="4"/>
        <v>100</v>
      </c>
      <c r="AB102" s="75" t="s">
        <v>249</v>
      </c>
    </row>
    <row r="103" spans="1:28" s="75" customFormat="1" x14ac:dyDescent="0.35">
      <c r="A103" s="52"/>
      <c r="B103" s="2" t="s">
        <v>31</v>
      </c>
      <c r="C103" s="58" t="s">
        <v>103</v>
      </c>
      <c r="D103" s="75" t="s">
        <v>187</v>
      </c>
      <c r="E103" s="75" t="s">
        <v>70</v>
      </c>
      <c r="F103" s="82"/>
      <c r="G103" s="75" t="s">
        <v>122</v>
      </c>
      <c r="L103" s="53">
        <v>95</v>
      </c>
      <c r="M103" s="53">
        <v>5</v>
      </c>
      <c r="AA103" s="57">
        <f t="shared" si="4"/>
        <v>100</v>
      </c>
    </row>
    <row r="104" spans="1:28" s="75" customFormat="1" x14ac:dyDescent="0.35">
      <c r="A104" s="52"/>
      <c r="B104" s="6"/>
      <c r="C104" s="25" t="s">
        <v>104</v>
      </c>
      <c r="D104" s="54" t="s">
        <v>188</v>
      </c>
      <c r="E104" s="54" t="s">
        <v>71</v>
      </c>
      <c r="F104" s="55"/>
      <c r="G104" s="54" t="s">
        <v>120</v>
      </c>
      <c r="H104" s="54"/>
      <c r="I104" s="56">
        <v>25</v>
      </c>
      <c r="J104" s="54"/>
      <c r="K104" s="54"/>
      <c r="L104" s="56">
        <v>50</v>
      </c>
      <c r="M104" s="54"/>
      <c r="N104" s="54"/>
      <c r="O104" s="54"/>
      <c r="P104" s="54"/>
      <c r="Q104" s="54"/>
      <c r="R104" s="54"/>
      <c r="S104" s="54"/>
      <c r="T104" s="56">
        <v>25</v>
      </c>
      <c r="U104" s="54"/>
      <c r="V104" s="54"/>
      <c r="W104" s="54"/>
      <c r="X104" s="54"/>
      <c r="Y104" s="54"/>
      <c r="Z104" s="54"/>
      <c r="AA104" s="57">
        <f t="shared" si="4"/>
        <v>100</v>
      </c>
    </row>
    <row r="105" spans="1:28" s="75" customFormat="1" x14ac:dyDescent="0.35">
      <c r="A105" s="52"/>
      <c r="B105" s="2" t="s">
        <v>32</v>
      </c>
      <c r="C105" s="58" t="s">
        <v>105</v>
      </c>
      <c r="D105" s="75" t="s">
        <v>189</v>
      </c>
      <c r="F105" s="82"/>
      <c r="G105" s="75" t="s">
        <v>125</v>
      </c>
      <c r="I105" s="53">
        <v>35</v>
      </c>
      <c r="L105" s="53">
        <v>55</v>
      </c>
      <c r="R105" s="53">
        <v>10</v>
      </c>
      <c r="AA105" s="57">
        <f t="shared" si="4"/>
        <v>100</v>
      </c>
    </row>
    <row r="106" spans="1:28" s="75" customFormat="1" x14ac:dyDescent="0.35">
      <c r="A106" s="52"/>
      <c r="B106" s="6"/>
      <c r="C106" s="25" t="s">
        <v>106</v>
      </c>
      <c r="D106" s="54" t="s">
        <v>190</v>
      </c>
      <c r="E106" s="54"/>
      <c r="F106" s="55"/>
      <c r="G106" s="54" t="s">
        <v>125</v>
      </c>
      <c r="H106" s="54"/>
      <c r="I106" s="56">
        <v>20</v>
      </c>
      <c r="J106" s="54"/>
      <c r="K106" s="54"/>
      <c r="L106" s="56">
        <v>70</v>
      </c>
      <c r="M106" s="54"/>
      <c r="N106" s="54"/>
      <c r="O106" s="54"/>
      <c r="P106" s="54"/>
      <c r="Q106" s="54"/>
      <c r="R106" s="56">
        <v>10</v>
      </c>
      <c r="S106" s="54"/>
      <c r="T106" s="54"/>
      <c r="U106" s="54"/>
      <c r="V106" s="54"/>
      <c r="W106" s="54"/>
      <c r="X106" s="54"/>
      <c r="Y106" s="54"/>
      <c r="Z106" s="54"/>
      <c r="AA106" s="57">
        <f t="shared" si="4"/>
        <v>100</v>
      </c>
    </row>
    <row r="107" spans="1:28" s="75" customFormat="1" x14ac:dyDescent="0.35">
      <c r="A107" s="52"/>
      <c r="B107" s="6" t="s">
        <v>33</v>
      </c>
      <c r="C107" s="6" t="s">
        <v>33</v>
      </c>
      <c r="D107" s="54" t="s">
        <v>191</v>
      </c>
      <c r="E107" s="54"/>
      <c r="F107" s="55"/>
      <c r="G107" s="54" t="s">
        <v>131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7">
        <f t="shared" si="4"/>
        <v>0</v>
      </c>
    </row>
    <row r="108" spans="1:28" s="75" customFormat="1" x14ac:dyDescent="0.35">
      <c r="A108" s="52"/>
      <c r="B108" s="6" t="s">
        <v>34</v>
      </c>
      <c r="C108" s="6" t="s">
        <v>34</v>
      </c>
      <c r="D108" s="54" t="s">
        <v>192</v>
      </c>
      <c r="E108" s="54"/>
      <c r="F108" s="55"/>
      <c r="G108" s="54" t="s">
        <v>125</v>
      </c>
      <c r="H108" s="54"/>
      <c r="I108" s="56">
        <v>50</v>
      </c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6">
        <v>50</v>
      </c>
      <c r="U108" s="54"/>
      <c r="V108" s="54"/>
      <c r="W108" s="54"/>
      <c r="X108" s="54"/>
      <c r="Y108" s="54"/>
      <c r="Z108" s="54"/>
      <c r="AA108" s="57">
        <f t="shared" si="4"/>
        <v>100</v>
      </c>
    </row>
    <row r="109" spans="1:28" s="75" customFormat="1" x14ac:dyDescent="0.35">
      <c r="A109" s="52"/>
      <c r="B109" s="6" t="s">
        <v>35</v>
      </c>
      <c r="C109" s="6" t="s">
        <v>35</v>
      </c>
      <c r="D109" s="54" t="s">
        <v>193</v>
      </c>
      <c r="E109" s="54"/>
      <c r="F109" s="55"/>
      <c r="G109" s="54" t="s">
        <v>54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6">
        <v>100</v>
      </c>
      <c r="U109" s="54"/>
      <c r="V109" s="54"/>
      <c r="W109" s="54"/>
      <c r="X109" s="54"/>
      <c r="Y109" s="54"/>
      <c r="Z109" s="54"/>
      <c r="AA109" s="57">
        <f t="shared" si="4"/>
        <v>100</v>
      </c>
    </row>
    <row r="110" spans="1:28" s="75" customFormat="1" x14ac:dyDescent="0.35">
      <c r="A110" s="52"/>
      <c r="B110" s="6" t="s">
        <v>36</v>
      </c>
      <c r="C110" s="6" t="s">
        <v>36</v>
      </c>
      <c r="D110" s="54" t="s">
        <v>194</v>
      </c>
      <c r="E110" s="54"/>
      <c r="F110" s="55"/>
      <c r="G110" s="54" t="s">
        <v>54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6">
        <v>100</v>
      </c>
      <c r="U110" s="54"/>
      <c r="V110" s="54"/>
      <c r="W110" s="54"/>
      <c r="X110" s="54"/>
      <c r="Y110" s="54"/>
      <c r="Z110" s="54"/>
      <c r="AA110" s="57">
        <f t="shared" si="4"/>
        <v>100</v>
      </c>
    </row>
    <row r="111" spans="1:28" s="75" customFormat="1" x14ac:dyDescent="0.35">
      <c r="A111" s="52"/>
      <c r="B111" s="6" t="s">
        <v>37</v>
      </c>
      <c r="C111" s="6" t="s">
        <v>37</v>
      </c>
      <c r="D111" s="54" t="s">
        <v>195</v>
      </c>
      <c r="E111" s="54"/>
      <c r="F111" s="55"/>
      <c r="G111" s="54" t="s">
        <v>54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6">
        <v>100</v>
      </c>
      <c r="U111" s="54"/>
      <c r="V111" s="54"/>
      <c r="W111" s="54"/>
      <c r="X111" s="54"/>
      <c r="Y111" s="54"/>
      <c r="Z111" s="54"/>
      <c r="AA111" s="57">
        <f t="shared" si="4"/>
        <v>100</v>
      </c>
    </row>
    <row r="112" spans="1:28" s="75" customFormat="1" x14ac:dyDescent="0.35">
      <c r="A112" s="52"/>
      <c r="B112" s="6" t="s">
        <v>38</v>
      </c>
      <c r="C112" s="6" t="s">
        <v>38</v>
      </c>
      <c r="D112" s="54" t="s">
        <v>196</v>
      </c>
      <c r="E112" s="54"/>
      <c r="F112" s="55"/>
      <c r="G112" s="54" t="s">
        <v>122</v>
      </c>
      <c r="H112" s="54"/>
      <c r="I112" s="54"/>
      <c r="J112" s="54"/>
      <c r="K112" s="54"/>
      <c r="L112" s="56">
        <v>100</v>
      </c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7">
        <f t="shared" si="4"/>
        <v>100</v>
      </c>
    </row>
    <row r="113" spans="1:27" s="75" customFormat="1" x14ac:dyDescent="0.35">
      <c r="A113" s="52"/>
      <c r="B113" s="6" t="s">
        <v>39</v>
      </c>
      <c r="C113" s="6" t="s">
        <v>39</v>
      </c>
      <c r="D113" s="54" t="s">
        <v>197</v>
      </c>
      <c r="E113" s="54"/>
      <c r="F113" s="55"/>
      <c r="G113" s="54" t="s">
        <v>126</v>
      </c>
      <c r="H113" s="54"/>
      <c r="I113" s="56">
        <v>50</v>
      </c>
      <c r="J113" s="54"/>
      <c r="K113" s="54"/>
      <c r="L113" s="54"/>
      <c r="M113" s="54"/>
      <c r="N113" s="54"/>
      <c r="O113" s="54"/>
      <c r="P113" s="54"/>
      <c r="Q113" s="54"/>
      <c r="R113" s="54"/>
      <c r="S113" s="56">
        <v>50</v>
      </c>
      <c r="T113" s="54"/>
      <c r="U113" s="54"/>
      <c r="V113" s="54"/>
      <c r="W113" s="54"/>
      <c r="X113" s="54"/>
      <c r="Y113" s="54"/>
      <c r="Z113" s="54"/>
      <c r="AA113" s="57">
        <f t="shared" si="4"/>
        <v>100</v>
      </c>
    </row>
    <row r="114" spans="1:27" s="75" customFormat="1" x14ac:dyDescent="0.35">
      <c r="A114" s="52"/>
      <c r="B114" s="6" t="s">
        <v>40</v>
      </c>
      <c r="C114" s="6" t="s">
        <v>40</v>
      </c>
      <c r="D114" s="54" t="s">
        <v>198</v>
      </c>
      <c r="E114" s="54"/>
      <c r="F114" s="55"/>
      <c r="G114" s="54" t="s">
        <v>122</v>
      </c>
      <c r="H114" s="54"/>
      <c r="I114" s="54"/>
      <c r="J114" s="54"/>
      <c r="K114" s="54"/>
      <c r="L114" s="54"/>
      <c r="M114" s="54"/>
      <c r="N114" s="54"/>
      <c r="O114" s="54"/>
      <c r="P114" s="56">
        <v>100</v>
      </c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7">
        <f t="shared" si="4"/>
        <v>100</v>
      </c>
    </row>
    <row r="115" spans="1:27" s="75" customFormat="1" x14ac:dyDescent="0.35">
      <c r="A115" s="52"/>
      <c r="B115" s="6" t="s">
        <v>41</v>
      </c>
      <c r="C115" s="6" t="s">
        <v>41</v>
      </c>
      <c r="D115" s="54" t="s">
        <v>199</v>
      </c>
      <c r="E115" s="54"/>
      <c r="F115" s="55"/>
      <c r="G115" s="54" t="s">
        <v>120</v>
      </c>
      <c r="H115" s="54"/>
      <c r="I115" s="56">
        <v>50</v>
      </c>
      <c r="J115" s="54"/>
      <c r="K115" s="54"/>
      <c r="L115" s="54"/>
      <c r="M115" s="54"/>
      <c r="N115" s="54"/>
      <c r="O115" s="54"/>
      <c r="P115" s="54"/>
      <c r="Q115" s="54"/>
      <c r="R115" s="56">
        <v>20</v>
      </c>
      <c r="S115" s="54"/>
      <c r="T115" s="56">
        <v>30</v>
      </c>
      <c r="U115" s="54"/>
      <c r="V115" s="54"/>
      <c r="W115" s="54"/>
      <c r="X115" s="54"/>
      <c r="Y115" s="54"/>
      <c r="Z115" s="54"/>
      <c r="AA115" s="57">
        <f t="shared" si="4"/>
        <v>100</v>
      </c>
    </row>
    <row r="116" spans="1:27" s="75" customFormat="1" x14ac:dyDescent="0.35">
      <c r="A116" s="52"/>
      <c r="B116" s="6" t="s">
        <v>42</v>
      </c>
      <c r="C116" s="6" t="s">
        <v>42</v>
      </c>
      <c r="D116" s="54" t="s">
        <v>200</v>
      </c>
      <c r="E116" s="54"/>
      <c r="F116" s="55"/>
      <c r="G116" s="54" t="s">
        <v>127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6">
        <v>100</v>
      </c>
      <c r="T116" s="54"/>
      <c r="U116" s="54"/>
      <c r="V116" s="54"/>
      <c r="W116" s="54"/>
      <c r="X116" s="54"/>
      <c r="Y116" s="54"/>
      <c r="Z116" s="54"/>
      <c r="AA116" s="57">
        <f t="shared" si="4"/>
        <v>100</v>
      </c>
    </row>
    <row r="117" spans="1:27" s="75" customFormat="1" x14ac:dyDescent="0.35">
      <c r="A117" s="52"/>
      <c r="B117" s="6" t="s">
        <v>43</v>
      </c>
      <c r="C117" s="6" t="s">
        <v>43</v>
      </c>
      <c r="D117" s="54" t="s">
        <v>201</v>
      </c>
      <c r="E117" s="54"/>
      <c r="F117" s="55"/>
      <c r="G117" s="54" t="s">
        <v>126</v>
      </c>
      <c r="H117" s="54"/>
      <c r="I117" s="56">
        <v>50</v>
      </c>
      <c r="J117" s="54"/>
      <c r="K117" s="54"/>
      <c r="L117" s="54"/>
      <c r="M117" s="54"/>
      <c r="N117" s="54"/>
      <c r="O117" s="54"/>
      <c r="P117" s="54"/>
      <c r="Q117" s="54"/>
      <c r="R117" s="54"/>
      <c r="S117" s="56">
        <v>50</v>
      </c>
      <c r="T117" s="54"/>
      <c r="U117" s="54"/>
      <c r="V117" s="54"/>
      <c r="W117" s="54"/>
      <c r="X117" s="54"/>
      <c r="Y117" s="54"/>
      <c r="Z117" s="54"/>
      <c r="AA117" s="57">
        <f t="shared" si="4"/>
        <v>100</v>
      </c>
    </row>
    <row r="118" spans="1:27" s="75" customFormat="1" x14ac:dyDescent="0.35">
      <c r="A118" s="52"/>
      <c r="B118" s="6" t="s">
        <v>44</v>
      </c>
      <c r="C118" s="6" t="s">
        <v>44</v>
      </c>
      <c r="D118" s="54" t="s">
        <v>202</v>
      </c>
      <c r="E118" s="54"/>
      <c r="F118" s="55"/>
      <c r="G118" s="54" t="s">
        <v>68</v>
      </c>
      <c r="H118" s="54"/>
      <c r="I118" s="56">
        <v>100</v>
      </c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7">
        <f t="shared" si="4"/>
        <v>100</v>
      </c>
    </row>
    <row r="119" spans="1:27" s="75" customFormat="1" x14ac:dyDescent="0.35">
      <c r="A119" s="52"/>
      <c r="B119" s="6" t="s">
        <v>45</v>
      </c>
      <c r="C119" s="6" t="s">
        <v>45</v>
      </c>
      <c r="D119" s="54" t="s">
        <v>203</v>
      </c>
      <c r="E119" s="54"/>
      <c r="F119" s="55"/>
      <c r="G119" s="54" t="s">
        <v>128</v>
      </c>
      <c r="H119" s="54"/>
      <c r="I119" s="56">
        <v>50</v>
      </c>
      <c r="J119" s="54"/>
      <c r="K119" s="54"/>
      <c r="L119" s="54"/>
      <c r="M119" s="54"/>
      <c r="N119" s="54"/>
      <c r="O119" s="54"/>
      <c r="P119" s="56">
        <v>50</v>
      </c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7">
        <f t="shared" si="4"/>
        <v>100</v>
      </c>
    </row>
    <row r="120" spans="1:27" s="75" customFormat="1" x14ac:dyDescent="0.35">
      <c r="A120" s="52"/>
      <c r="B120" s="6" t="s">
        <v>46</v>
      </c>
      <c r="C120" s="6" t="s">
        <v>46</v>
      </c>
      <c r="D120" s="54" t="s">
        <v>204</v>
      </c>
      <c r="E120" s="54"/>
      <c r="F120" s="55"/>
      <c r="G120" s="54" t="s">
        <v>129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6">
        <v>100</v>
      </c>
      <c r="V120" s="54"/>
      <c r="W120" s="54"/>
      <c r="X120" s="54"/>
      <c r="Y120" s="54"/>
      <c r="Z120" s="54"/>
      <c r="AA120" s="57">
        <f t="shared" si="4"/>
        <v>100</v>
      </c>
    </row>
    <row r="121" spans="1:27" x14ac:dyDescent="0.35">
      <c r="B121" s="6" t="s">
        <v>47</v>
      </c>
      <c r="C121" s="6" t="s">
        <v>47</v>
      </c>
      <c r="D121" s="54" t="s">
        <v>205</v>
      </c>
      <c r="E121" s="54"/>
      <c r="F121" s="55"/>
      <c r="G121" s="54" t="s">
        <v>68</v>
      </c>
      <c r="H121" s="54"/>
      <c r="I121" s="56">
        <v>100</v>
      </c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7">
        <f t="shared" si="4"/>
        <v>100</v>
      </c>
    </row>
    <row r="122" spans="1:27" x14ac:dyDescent="0.35">
      <c r="B122" s="6" t="s">
        <v>48</v>
      </c>
      <c r="C122" s="6" t="s">
        <v>48</v>
      </c>
      <c r="D122" s="54" t="s">
        <v>210</v>
      </c>
      <c r="E122" s="54"/>
      <c r="F122" s="55"/>
      <c r="G122" s="54" t="s">
        <v>68</v>
      </c>
      <c r="H122" s="54"/>
      <c r="I122" s="56">
        <v>100</v>
      </c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7">
        <f t="shared" si="4"/>
        <v>100</v>
      </c>
    </row>
    <row r="123" spans="1:27" x14ac:dyDescent="0.35">
      <c r="B123" s="6" t="s">
        <v>49</v>
      </c>
      <c r="C123" s="6" t="s">
        <v>49</v>
      </c>
      <c r="D123" s="54" t="s">
        <v>206</v>
      </c>
      <c r="E123" s="54"/>
      <c r="F123" s="55"/>
      <c r="G123" s="54" t="s">
        <v>54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6">
        <v>100</v>
      </c>
      <c r="U123" s="54"/>
      <c r="V123" s="54"/>
      <c r="W123" s="54"/>
      <c r="X123" s="54"/>
      <c r="Y123" s="54"/>
      <c r="Z123" s="54"/>
      <c r="AA123" s="57">
        <f t="shared" si="4"/>
        <v>100</v>
      </c>
    </row>
    <row r="124" spans="1:27" x14ac:dyDescent="0.35">
      <c r="B124" s="6" t="s">
        <v>50</v>
      </c>
      <c r="C124" s="6" t="s">
        <v>50</v>
      </c>
      <c r="D124" s="54" t="s">
        <v>211</v>
      </c>
      <c r="E124" s="54"/>
      <c r="F124" s="55"/>
      <c r="G124" s="54" t="s">
        <v>68</v>
      </c>
      <c r="H124" s="54"/>
      <c r="I124" s="56">
        <v>100</v>
      </c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7">
        <f t="shared" si="4"/>
        <v>100</v>
      </c>
    </row>
    <row r="126" spans="1:27" x14ac:dyDescent="0.35">
      <c r="B126" s="83" t="s">
        <v>232</v>
      </c>
      <c r="C126" s="83" t="s">
        <v>302</v>
      </c>
    </row>
  </sheetData>
  <autoFilter ref="B3:G124" xr:uid="{7040D96E-9A1E-412E-95A2-231D29FA7D11}"/>
  <conditionalFormatting sqref="H35">
    <cfRule type="colorScale" priority="6">
      <colorScale>
        <cfvo type="min"/>
        <cfvo type="max"/>
        <color rgb="FFFCFCFF"/>
        <color rgb="FF63BE7B"/>
      </colorScale>
    </cfRule>
  </conditionalFormatting>
  <conditionalFormatting sqref="H76:Z76">
    <cfRule type="colorScale" priority="5">
      <colorScale>
        <cfvo type="min"/>
        <cfvo type="max"/>
        <color rgb="FFFCFCFF"/>
        <color rgb="FF63BE7B"/>
      </colorScale>
    </cfRule>
  </conditionalFormatting>
  <conditionalFormatting sqref="H83:Z83">
    <cfRule type="colorScale" priority="4">
      <colorScale>
        <cfvo type="min"/>
        <cfvo type="max"/>
        <color rgb="FFFCFCFF"/>
        <color rgb="FF63BE7B"/>
      </colorScale>
    </cfRule>
  </conditionalFormatting>
  <conditionalFormatting sqref="H84:I84">
    <cfRule type="colorScale" priority="3">
      <colorScale>
        <cfvo type="min"/>
        <cfvo type="max"/>
        <color rgb="FFFCFCFF"/>
        <color rgb="FF63BE7B"/>
      </colorScale>
    </cfRule>
  </conditionalFormatting>
  <conditionalFormatting sqref="H94:Z94">
    <cfRule type="colorScale" priority="2">
      <colorScale>
        <cfvo type="min"/>
        <cfvo type="max"/>
        <color rgb="FFFCFCFF"/>
        <color rgb="FF63BE7B"/>
      </colorScale>
    </cfRule>
  </conditionalFormatting>
  <conditionalFormatting sqref="H53:X75 Y4:Z75 I31:X31 L32:X33 J32:J33 I32:I36 I39:X41 I44:X44 I42:I43 K42:X43 J37:X38 I45 K45:X45 U46:X46 I46:S46 H52 J51:X52 I47:X50 K34:X36 H4:X30 H77:Z82 H85:Z93 J84:Z84 H95:Z99 H101:Z124">
    <cfRule type="colorScale" priority="16">
      <colorScale>
        <cfvo type="min"/>
        <cfvo type="max"/>
        <color rgb="FFFCFCFF"/>
        <color rgb="FF63BE7B"/>
      </colorScale>
    </cfRule>
  </conditionalFormatting>
  <conditionalFormatting sqref="H100:Z10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D96E-9A1E-412E-95A2-231D29FA7D11}">
  <dimension ref="A2:AB99"/>
  <sheetViews>
    <sheetView zoomScale="115" zoomScaleNormal="115" workbookViewId="0">
      <pane ySplit="1320" topLeftCell="A9" activePane="bottomLeft"/>
      <selection activeCell="H1" sqref="H1:H1048576"/>
      <selection pane="bottomLeft" activeCell="G31" sqref="G31"/>
    </sheetView>
  </sheetViews>
  <sheetFormatPr defaultColWidth="9.1796875" defaultRowHeight="14.5" x14ac:dyDescent="0.35"/>
  <cols>
    <col min="1" max="1" width="17" style="1" customWidth="1"/>
    <col min="2" max="2" width="29.81640625" style="16" customWidth="1"/>
    <col min="3" max="3" width="43.7265625" style="16" customWidth="1"/>
    <col min="4" max="4" width="70.54296875" style="3" customWidth="1"/>
    <col min="5" max="5" width="40.90625" style="3" customWidth="1"/>
    <col min="6" max="6" width="5.08984375" style="27" customWidth="1"/>
    <col min="7" max="7" width="32.90625" style="3" customWidth="1"/>
    <col min="8" max="8" width="12.54296875" style="1" customWidth="1"/>
    <col min="9" max="9" width="16.54296875" style="1" customWidth="1"/>
    <col min="10" max="10" width="12.81640625" style="1" customWidth="1"/>
    <col min="11" max="11" width="15.7265625" style="1" customWidth="1"/>
    <col min="12" max="12" width="16.90625" style="1" customWidth="1"/>
    <col min="13" max="13" width="18" style="1" customWidth="1"/>
    <col min="14" max="14" width="17" style="1" customWidth="1"/>
    <col min="15" max="15" width="11.08984375" style="1" customWidth="1"/>
    <col min="16" max="16" width="15" style="1" customWidth="1"/>
    <col min="17" max="17" width="13.26953125" style="1" customWidth="1"/>
    <col min="18" max="18" width="16.54296875" style="1" customWidth="1"/>
    <col min="19" max="19" width="10.1796875" style="1" customWidth="1"/>
    <col min="20" max="20" width="10.26953125" style="1" customWidth="1"/>
    <col min="21" max="21" width="12.08984375" style="1" customWidth="1"/>
    <col min="22" max="22" width="14.26953125" style="1" customWidth="1"/>
    <col min="23" max="23" width="13.36328125" style="1" customWidth="1"/>
    <col min="24" max="24" width="13.26953125" style="1" customWidth="1"/>
    <col min="25" max="25" width="15.6328125" style="1" bestFit="1" customWidth="1"/>
    <col min="26" max="26" width="9.1796875" style="1"/>
    <col min="27" max="27" width="9.1796875" style="48"/>
    <col min="28" max="16384" width="9.1796875" style="1"/>
  </cols>
  <sheetData>
    <row r="2" spans="2:27" x14ac:dyDescent="0.35">
      <c r="H2" s="1" t="s">
        <v>250</v>
      </c>
      <c r="I2" s="1" t="s">
        <v>252</v>
      </c>
      <c r="J2" s="1" t="s">
        <v>251</v>
      </c>
    </row>
    <row r="3" spans="2:27" x14ac:dyDescent="0.35">
      <c r="B3" s="49" t="s">
        <v>220</v>
      </c>
      <c r="C3" s="49" t="s">
        <v>231</v>
      </c>
      <c r="D3" s="50" t="s">
        <v>212</v>
      </c>
      <c r="E3" s="50" t="s">
        <v>136</v>
      </c>
      <c r="F3" s="28"/>
      <c r="G3" s="18" t="s">
        <v>62</v>
      </c>
      <c r="H3" s="40" t="s">
        <v>241</v>
      </c>
      <c r="I3" s="40" t="s">
        <v>234</v>
      </c>
      <c r="J3" s="40" t="s">
        <v>240</v>
      </c>
      <c r="K3" s="38" t="s">
        <v>236</v>
      </c>
      <c r="L3" s="38" t="s">
        <v>237</v>
      </c>
      <c r="M3" s="38" t="s">
        <v>238</v>
      </c>
      <c r="N3" s="38" t="s">
        <v>253</v>
      </c>
      <c r="O3" s="38" t="s">
        <v>239</v>
      </c>
      <c r="P3" s="1" t="s">
        <v>235</v>
      </c>
      <c r="Q3" s="1" t="s">
        <v>254</v>
      </c>
      <c r="R3" s="1" t="s">
        <v>255</v>
      </c>
      <c r="S3" s="41" t="s">
        <v>245</v>
      </c>
      <c r="T3" s="41" t="s">
        <v>242</v>
      </c>
      <c r="U3" s="41" t="s">
        <v>247</v>
      </c>
      <c r="V3" s="42" t="s">
        <v>243</v>
      </c>
      <c r="W3" s="42" t="s">
        <v>244</v>
      </c>
      <c r="X3" s="43" t="s">
        <v>246</v>
      </c>
      <c r="Y3" s="39" t="s">
        <v>118</v>
      </c>
      <c r="Z3" s="1" t="s">
        <v>117</v>
      </c>
    </row>
    <row r="4" spans="2:27" x14ac:dyDescent="0.35">
      <c r="B4" s="6" t="s">
        <v>0</v>
      </c>
      <c r="C4" s="6" t="s">
        <v>0</v>
      </c>
      <c r="D4" s="10" t="s">
        <v>144</v>
      </c>
      <c r="E4" s="10"/>
      <c r="F4" s="29"/>
      <c r="G4" s="10" t="s">
        <v>68</v>
      </c>
      <c r="H4" s="45">
        <v>33</v>
      </c>
      <c r="I4" s="45">
        <v>33</v>
      </c>
      <c r="J4" s="45">
        <v>34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5">
        <f t="shared" ref="AA4:AA67" si="0">SUM(H4:Z4)</f>
        <v>100</v>
      </c>
    </row>
    <row r="5" spans="2:27" x14ac:dyDescent="0.35">
      <c r="B5" s="7" t="s">
        <v>1</v>
      </c>
      <c r="C5" s="7" t="s">
        <v>1</v>
      </c>
      <c r="D5" s="10" t="s">
        <v>145</v>
      </c>
      <c r="E5" s="10"/>
      <c r="F5" s="29"/>
      <c r="G5" s="10" t="s">
        <v>118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 t="s">
        <v>248</v>
      </c>
      <c r="Z5" s="10"/>
      <c r="AA5" s="15">
        <f t="shared" si="0"/>
        <v>0</v>
      </c>
    </row>
    <row r="6" spans="2:27" x14ac:dyDescent="0.35">
      <c r="B6" s="2" t="s">
        <v>2</v>
      </c>
      <c r="C6" s="19" t="s">
        <v>138</v>
      </c>
      <c r="D6" s="4" t="s">
        <v>207</v>
      </c>
      <c r="E6" s="4"/>
      <c r="F6" s="30"/>
      <c r="G6" s="4" t="s">
        <v>140</v>
      </c>
      <c r="H6" s="4"/>
      <c r="I6" s="4"/>
      <c r="J6" s="4"/>
      <c r="K6" s="4"/>
      <c r="L6" s="4"/>
      <c r="M6" s="4"/>
      <c r="N6" s="4"/>
      <c r="O6" s="4"/>
      <c r="P6" s="4">
        <v>100</v>
      </c>
      <c r="Q6" s="4"/>
      <c r="R6" s="4"/>
      <c r="S6" s="4"/>
      <c r="T6" s="4"/>
      <c r="U6" s="4"/>
      <c r="V6" s="4"/>
      <c r="W6" s="4"/>
      <c r="X6" s="4"/>
      <c r="Y6" s="4"/>
      <c r="Z6" s="4"/>
      <c r="AA6" s="15">
        <f t="shared" si="0"/>
        <v>100</v>
      </c>
    </row>
    <row r="7" spans="2:27" x14ac:dyDescent="0.35">
      <c r="B7" s="2"/>
      <c r="C7" s="19" t="s">
        <v>139</v>
      </c>
      <c r="D7" s="4" t="s">
        <v>208</v>
      </c>
      <c r="E7" s="4"/>
      <c r="F7" s="30"/>
      <c r="G7" s="4" t="s">
        <v>141</v>
      </c>
      <c r="H7" s="4"/>
      <c r="I7" s="4"/>
      <c r="J7" s="4"/>
      <c r="K7" s="4"/>
      <c r="L7" s="4"/>
      <c r="M7" s="4">
        <v>100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5">
        <f t="shared" si="0"/>
        <v>100</v>
      </c>
    </row>
    <row r="8" spans="2:27" x14ac:dyDescent="0.35">
      <c r="B8" s="2"/>
      <c r="C8" s="19" t="s">
        <v>142</v>
      </c>
      <c r="D8" s="4" t="s">
        <v>146</v>
      </c>
      <c r="E8" s="4"/>
      <c r="F8" s="30"/>
      <c r="G8" s="4" t="s">
        <v>131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5">
        <f t="shared" si="0"/>
        <v>0</v>
      </c>
    </row>
    <row r="9" spans="2:27" x14ac:dyDescent="0.35">
      <c r="B9" s="2"/>
      <c r="C9" s="19" t="s">
        <v>72</v>
      </c>
      <c r="D9" s="4" t="s">
        <v>147</v>
      </c>
      <c r="E9" s="4"/>
      <c r="F9" s="30"/>
      <c r="G9" s="4" t="s">
        <v>120</v>
      </c>
      <c r="H9" s="4"/>
      <c r="I9" s="4"/>
      <c r="J9" s="4"/>
      <c r="K9" s="4"/>
      <c r="L9" s="4"/>
      <c r="M9" s="4"/>
      <c r="N9" s="44">
        <v>50</v>
      </c>
      <c r="O9" s="4"/>
      <c r="P9" s="4"/>
      <c r="Q9" s="4"/>
      <c r="R9" s="44">
        <v>50</v>
      </c>
      <c r="S9" s="4"/>
      <c r="T9" s="4"/>
      <c r="U9" s="4"/>
      <c r="V9" s="4"/>
      <c r="W9" s="4"/>
      <c r="X9" s="4"/>
      <c r="Y9" s="4"/>
      <c r="Z9" s="4"/>
      <c r="AA9" s="15">
        <f t="shared" si="0"/>
        <v>100</v>
      </c>
    </row>
    <row r="10" spans="2:27" x14ac:dyDescent="0.35">
      <c r="B10" s="2"/>
      <c r="C10" s="19" t="s">
        <v>73</v>
      </c>
      <c r="D10" s="1" t="s">
        <v>148</v>
      </c>
      <c r="E10" s="1"/>
      <c r="F10" s="26"/>
      <c r="G10" s="1" t="s">
        <v>54</v>
      </c>
      <c r="S10" s="1">
        <v>100</v>
      </c>
      <c r="AA10" s="15">
        <f t="shared" si="0"/>
        <v>100</v>
      </c>
    </row>
    <row r="11" spans="2:27" x14ac:dyDescent="0.35">
      <c r="B11" s="2"/>
      <c r="C11" s="19" t="s">
        <v>74</v>
      </c>
      <c r="D11" s="1" t="s">
        <v>149</v>
      </c>
      <c r="E11" s="1"/>
      <c r="F11" s="26"/>
      <c r="G11" s="1" t="s">
        <v>54</v>
      </c>
      <c r="S11" s="1">
        <v>100</v>
      </c>
      <c r="AA11" s="15">
        <f t="shared" si="0"/>
        <v>100</v>
      </c>
    </row>
    <row r="12" spans="2:27" x14ac:dyDescent="0.35">
      <c r="B12" s="2"/>
      <c r="C12" s="19" t="s">
        <v>75</v>
      </c>
      <c r="D12" s="1" t="s">
        <v>150</v>
      </c>
      <c r="E12" s="1"/>
      <c r="F12" s="26"/>
      <c r="G12" s="1" t="s">
        <v>120</v>
      </c>
      <c r="H12" s="4"/>
      <c r="I12" s="4"/>
      <c r="J12" s="4"/>
      <c r="K12" s="4"/>
      <c r="L12" s="4"/>
      <c r="M12" s="4"/>
      <c r="N12" s="44">
        <v>50</v>
      </c>
      <c r="O12" s="4"/>
      <c r="P12" s="4"/>
      <c r="Q12" s="4"/>
      <c r="R12" s="44">
        <v>50</v>
      </c>
      <c r="AA12" s="15">
        <f t="shared" si="0"/>
        <v>100</v>
      </c>
    </row>
    <row r="13" spans="2:27" x14ac:dyDescent="0.35">
      <c r="B13" s="2"/>
      <c r="C13" s="19" t="s">
        <v>76</v>
      </c>
      <c r="D13" s="1" t="s">
        <v>151</v>
      </c>
      <c r="E13" s="1"/>
      <c r="F13" s="26"/>
      <c r="G13" s="1" t="s">
        <v>54</v>
      </c>
      <c r="S13" s="1">
        <v>100</v>
      </c>
      <c r="AA13" s="15">
        <f t="shared" si="0"/>
        <v>100</v>
      </c>
    </row>
    <row r="14" spans="2:27" x14ac:dyDescent="0.35">
      <c r="B14" s="2"/>
      <c r="C14" s="19" t="s">
        <v>77</v>
      </c>
      <c r="D14" s="1" t="s">
        <v>152</v>
      </c>
      <c r="E14" s="1"/>
      <c r="F14" s="26"/>
      <c r="G14" s="1" t="s">
        <v>54</v>
      </c>
      <c r="S14" s="1">
        <v>100</v>
      </c>
      <c r="AA14" s="15">
        <f t="shared" si="0"/>
        <v>100</v>
      </c>
    </row>
    <row r="15" spans="2:27" x14ac:dyDescent="0.35">
      <c r="B15" s="2"/>
      <c r="C15" s="19" t="s">
        <v>78</v>
      </c>
      <c r="D15" s="1" t="s">
        <v>153</v>
      </c>
      <c r="E15" s="1"/>
      <c r="F15" s="26"/>
      <c r="G15" s="1" t="s">
        <v>54</v>
      </c>
      <c r="S15" s="1">
        <v>100</v>
      </c>
      <c r="AA15" s="15">
        <f t="shared" si="0"/>
        <v>100</v>
      </c>
    </row>
    <row r="16" spans="2:27" x14ac:dyDescent="0.35">
      <c r="B16" s="6"/>
      <c r="C16" s="20" t="s">
        <v>107</v>
      </c>
      <c r="D16" s="9"/>
      <c r="E16" s="9"/>
      <c r="F16" s="31"/>
      <c r="G16" s="9" t="s">
        <v>131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5">
        <f t="shared" si="0"/>
        <v>0</v>
      </c>
    </row>
    <row r="17" spans="2:27" x14ac:dyDescent="0.35">
      <c r="B17" s="2" t="s">
        <v>3</v>
      </c>
      <c r="C17" s="19" t="s">
        <v>79</v>
      </c>
      <c r="D17" s="1" t="s">
        <v>154</v>
      </c>
      <c r="E17" s="1"/>
      <c r="F17" s="26"/>
      <c r="G17" s="1" t="s">
        <v>52</v>
      </c>
      <c r="L17" s="1">
        <v>100</v>
      </c>
      <c r="AA17" s="15">
        <f t="shared" si="0"/>
        <v>100</v>
      </c>
    </row>
    <row r="18" spans="2:27" x14ac:dyDescent="0.35">
      <c r="B18" s="2"/>
      <c r="C18" s="19" t="s">
        <v>137</v>
      </c>
      <c r="D18" s="1" t="s">
        <v>155</v>
      </c>
      <c r="E18" s="1"/>
      <c r="F18" s="26"/>
      <c r="G18" s="1" t="s">
        <v>53</v>
      </c>
      <c r="U18" s="1">
        <v>100</v>
      </c>
      <c r="AA18" s="15">
        <f t="shared" si="0"/>
        <v>100</v>
      </c>
    </row>
    <row r="19" spans="2:27" x14ac:dyDescent="0.35">
      <c r="B19" s="2"/>
      <c r="C19" s="19" t="s">
        <v>80</v>
      </c>
      <c r="D19" s="1" t="s">
        <v>156</v>
      </c>
      <c r="E19" s="1"/>
      <c r="F19" s="26"/>
      <c r="G19" s="1" t="s">
        <v>51</v>
      </c>
      <c r="U19" s="1">
        <v>100</v>
      </c>
      <c r="AA19" s="15">
        <f t="shared" si="0"/>
        <v>100</v>
      </c>
    </row>
    <row r="20" spans="2:27" x14ac:dyDescent="0.35">
      <c r="B20" s="2"/>
      <c r="C20" s="19" t="s">
        <v>81</v>
      </c>
      <c r="D20" s="1" t="s">
        <v>157</v>
      </c>
      <c r="E20" s="1"/>
      <c r="F20" s="26"/>
      <c r="G20" s="1" t="s">
        <v>132</v>
      </c>
      <c r="V20" s="1">
        <v>50</v>
      </c>
      <c r="W20" s="1">
        <v>50</v>
      </c>
      <c r="AA20" s="15">
        <f t="shared" si="0"/>
        <v>100</v>
      </c>
    </row>
    <row r="21" spans="2:27" x14ac:dyDescent="0.35">
      <c r="B21" s="2"/>
      <c r="C21" s="19" t="s">
        <v>82</v>
      </c>
      <c r="D21" s="1" t="s">
        <v>158</v>
      </c>
      <c r="E21" s="1"/>
      <c r="F21" s="26"/>
      <c r="G21" s="1" t="s">
        <v>54</v>
      </c>
      <c r="S21" s="1">
        <v>100</v>
      </c>
      <c r="AA21" s="15">
        <f t="shared" si="0"/>
        <v>100</v>
      </c>
    </row>
    <row r="22" spans="2:27" x14ac:dyDescent="0.35">
      <c r="B22" s="2"/>
      <c r="C22" s="19" t="s">
        <v>83</v>
      </c>
      <c r="D22" s="1" t="s">
        <v>159</v>
      </c>
      <c r="E22" s="1"/>
      <c r="F22" s="26"/>
      <c r="G22" s="1" t="s">
        <v>133</v>
      </c>
      <c r="N22" s="1">
        <v>70</v>
      </c>
      <c r="S22" s="1">
        <v>30</v>
      </c>
      <c r="AA22" s="15">
        <f t="shared" si="0"/>
        <v>100</v>
      </c>
    </row>
    <row r="23" spans="2:27" x14ac:dyDescent="0.35">
      <c r="B23" s="2"/>
      <c r="C23" s="19" t="s">
        <v>84</v>
      </c>
      <c r="D23" s="1" t="s">
        <v>160</v>
      </c>
      <c r="E23" s="1"/>
      <c r="F23" s="26"/>
      <c r="G23" s="1" t="s">
        <v>53</v>
      </c>
      <c r="U23" s="1">
        <v>100</v>
      </c>
      <c r="AA23" s="15">
        <f t="shared" si="0"/>
        <v>100</v>
      </c>
    </row>
    <row r="24" spans="2:27" x14ac:dyDescent="0.35">
      <c r="B24" s="6"/>
      <c r="C24" s="20" t="s">
        <v>130</v>
      </c>
      <c r="D24" s="9" t="s">
        <v>161</v>
      </c>
      <c r="E24" s="9"/>
      <c r="F24" s="31"/>
      <c r="G24" s="9" t="s">
        <v>117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5">
        <f t="shared" si="0"/>
        <v>0</v>
      </c>
    </row>
    <row r="25" spans="2:27" x14ac:dyDescent="0.35">
      <c r="B25" s="2" t="s">
        <v>4</v>
      </c>
      <c r="C25" s="19" t="s">
        <v>85</v>
      </c>
      <c r="D25" s="1" t="s">
        <v>162</v>
      </c>
      <c r="E25" s="1"/>
      <c r="F25" s="26"/>
      <c r="G25" s="1" t="s">
        <v>55</v>
      </c>
      <c r="J25" s="1">
        <v>100</v>
      </c>
      <c r="AA25" s="15">
        <f t="shared" si="0"/>
        <v>100</v>
      </c>
    </row>
    <row r="26" spans="2:27" x14ac:dyDescent="0.35">
      <c r="B26" s="2"/>
      <c r="C26" s="19" t="s">
        <v>86</v>
      </c>
      <c r="D26" s="1" t="s">
        <v>163</v>
      </c>
      <c r="E26" s="1"/>
      <c r="F26" s="26"/>
      <c r="G26" s="1" t="s">
        <v>143</v>
      </c>
      <c r="J26" s="1">
        <v>80</v>
      </c>
      <c r="X26" s="1">
        <v>20</v>
      </c>
      <c r="AA26" s="15">
        <f t="shared" si="0"/>
        <v>100</v>
      </c>
    </row>
    <row r="27" spans="2:27" x14ac:dyDescent="0.35">
      <c r="B27" s="2"/>
      <c r="C27" s="19" t="s">
        <v>87</v>
      </c>
      <c r="D27" s="4"/>
      <c r="E27" s="4"/>
      <c r="F27" s="30"/>
      <c r="G27" s="4" t="s">
        <v>140</v>
      </c>
      <c r="H27" s="4"/>
      <c r="I27" s="4"/>
      <c r="J27" s="4"/>
      <c r="K27" s="4"/>
      <c r="L27" s="4"/>
      <c r="M27" s="4"/>
      <c r="N27" s="4"/>
      <c r="O27" s="4"/>
      <c r="P27" s="44">
        <v>100</v>
      </c>
      <c r="Q27" s="44"/>
      <c r="R27" s="4"/>
      <c r="S27" s="4"/>
      <c r="T27" s="4"/>
      <c r="U27" s="4"/>
      <c r="V27" s="4"/>
      <c r="W27" s="4"/>
      <c r="X27" s="4"/>
      <c r="Y27" s="4"/>
      <c r="Z27" s="4"/>
      <c r="AA27" s="15">
        <f t="shared" si="0"/>
        <v>100</v>
      </c>
    </row>
    <row r="28" spans="2:27" x14ac:dyDescent="0.35">
      <c r="B28" s="2"/>
      <c r="C28" s="19" t="s">
        <v>88</v>
      </c>
      <c r="D28" s="1" t="s">
        <v>164</v>
      </c>
      <c r="E28" s="1"/>
      <c r="F28" s="26"/>
      <c r="G28" s="1" t="s">
        <v>134</v>
      </c>
      <c r="H28" s="1">
        <v>50</v>
      </c>
      <c r="X28" s="1">
        <v>50</v>
      </c>
      <c r="AA28" s="15">
        <f t="shared" si="0"/>
        <v>100</v>
      </c>
    </row>
    <row r="29" spans="2:27" x14ac:dyDescent="0.35">
      <c r="B29" s="2"/>
      <c r="C29" s="19" t="s">
        <v>89</v>
      </c>
      <c r="D29" s="1" t="s">
        <v>209</v>
      </c>
      <c r="E29" s="1"/>
      <c r="F29" s="26"/>
      <c r="G29" s="1" t="s">
        <v>56</v>
      </c>
      <c r="X29" s="1">
        <v>100</v>
      </c>
      <c r="AA29" s="15">
        <f t="shared" si="0"/>
        <v>100</v>
      </c>
    </row>
    <row r="30" spans="2:27" x14ac:dyDescent="0.35">
      <c r="B30" s="6"/>
      <c r="C30" s="20" t="s">
        <v>108</v>
      </c>
      <c r="D30" s="8"/>
      <c r="E30" s="8"/>
      <c r="F30" s="32"/>
      <c r="G30" s="8" t="s">
        <v>117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5">
        <f t="shared" si="0"/>
        <v>0</v>
      </c>
    </row>
    <row r="31" spans="2:27" x14ac:dyDescent="0.35">
      <c r="B31" s="22" t="s">
        <v>5</v>
      </c>
      <c r="C31" s="23" t="s">
        <v>109</v>
      </c>
      <c r="D31" s="24" t="s">
        <v>165</v>
      </c>
      <c r="E31" s="24"/>
      <c r="F31" s="33"/>
      <c r="G31" s="24" t="s">
        <v>119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15">
        <f t="shared" si="0"/>
        <v>0</v>
      </c>
    </row>
    <row r="32" spans="2:27" x14ac:dyDescent="0.35">
      <c r="B32" s="6"/>
      <c r="C32" s="20" t="s">
        <v>222</v>
      </c>
      <c r="D32" s="8"/>
      <c r="E32" s="8"/>
      <c r="F32" s="32"/>
      <c r="G32" s="8" t="s">
        <v>117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5">
        <f t="shared" si="0"/>
        <v>0</v>
      </c>
    </row>
    <row r="33" spans="1:27" x14ac:dyDescent="0.35">
      <c r="B33" s="2" t="s">
        <v>6</v>
      </c>
      <c r="C33" s="19" t="s">
        <v>90</v>
      </c>
      <c r="D33" s="1" t="s">
        <v>166</v>
      </c>
      <c r="E33" s="1"/>
      <c r="F33" s="26"/>
      <c r="G33" s="1" t="s">
        <v>60</v>
      </c>
      <c r="I33" s="1">
        <v>20</v>
      </c>
      <c r="K33" s="1">
        <v>80</v>
      </c>
      <c r="AA33" s="15">
        <f t="shared" si="0"/>
        <v>100</v>
      </c>
    </row>
    <row r="34" spans="1:27" x14ac:dyDescent="0.35">
      <c r="B34" s="2"/>
      <c r="C34" s="19" t="s">
        <v>91</v>
      </c>
      <c r="D34" s="1" t="s">
        <v>167</v>
      </c>
      <c r="E34" s="1"/>
      <c r="F34" s="26"/>
      <c r="G34" s="1" t="s">
        <v>58</v>
      </c>
      <c r="K34" s="1">
        <v>100</v>
      </c>
      <c r="AA34" s="15">
        <f t="shared" si="0"/>
        <v>100</v>
      </c>
    </row>
    <row r="35" spans="1:27" x14ac:dyDescent="0.35">
      <c r="B35" s="2"/>
      <c r="C35" s="19" t="s">
        <v>92</v>
      </c>
      <c r="D35" s="1" t="s">
        <v>213</v>
      </c>
      <c r="E35" s="1"/>
      <c r="F35" s="26"/>
      <c r="G35" s="1" t="s">
        <v>59</v>
      </c>
      <c r="S35" s="1">
        <v>100</v>
      </c>
      <c r="AA35" s="15">
        <f t="shared" si="0"/>
        <v>100</v>
      </c>
    </row>
    <row r="36" spans="1:27" x14ac:dyDescent="0.35">
      <c r="B36" s="13"/>
      <c r="C36" s="21" t="s">
        <v>93</v>
      </c>
      <c r="D36" s="14" t="s">
        <v>214</v>
      </c>
      <c r="E36" s="14"/>
      <c r="F36" s="34"/>
      <c r="G36" s="14" t="s">
        <v>61</v>
      </c>
      <c r="H36" s="14"/>
      <c r="I36" s="14"/>
      <c r="J36" s="14"/>
      <c r="K36" s="14"/>
      <c r="L36" s="14"/>
      <c r="M36" s="14"/>
      <c r="N36" s="14"/>
      <c r="O36" s="14">
        <v>100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>
        <f t="shared" si="0"/>
        <v>100</v>
      </c>
    </row>
    <row r="37" spans="1:27" x14ac:dyDescent="0.35">
      <c r="B37" s="6"/>
      <c r="C37" s="20" t="s">
        <v>230</v>
      </c>
      <c r="D37" s="8"/>
      <c r="E37" s="8"/>
      <c r="F37" s="32"/>
      <c r="G37" s="8" t="s">
        <v>117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5">
        <f t="shared" si="0"/>
        <v>0</v>
      </c>
    </row>
    <row r="38" spans="1:27" x14ac:dyDescent="0.35">
      <c r="B38" s="7" t="s">
        <v>7</v>
      </c>
      <c r="C38" s="7" t="s">
        <v>7</v>
      </c>
      <c r="D38" s="11" t="s">
        <v>168</v>
      </c>
      <c r="E38" s="11"/>
      <c r="F38" s="35"/>
      <c r="G38" s="11" t="s">
        <v>118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>
        <v>100</v>
      </c>
      <c r="Z38" s="11"/>
      <c r="AA38" s="15">
        <f t="shared" si="0"/>
        <v>100</v>
      </c>
    </row>
    <row r="39" spans="1:27" x14ac:dyDescent="0.35">
      <c r="B39" s="22" t="s">
        <v>8</v>
      </c>
      <c r="C39" s="23" t="s">
        <v>110</v>
      </c>
      <c r="D39" s="24"/>
      <c r="E39" s="24"/>
      <c r="F39" s="33"/>
      <c r="G39" s="24" t="s">
        <v>54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>
        <v>100</v>
      </c>
      <c r="T39" s="24"/>
      <c r="U39" s="24"/>
      <c r="V39" s="24"/>
      <c r="W39" s="24"/>
      <c r="X39" s="24"/>
      <c r="Y39" s="24"/>
      <c r="Z39" s="24"/>
      <c r="AA39" s="15">
        <f t="shared" si="0"/>
        <v>100</v>
      </c>
    </row>
    <row r="40" spans="1:27" x14ac:dyDescent="0.35">
      <c r="B40" s="6"/>
      <c r="C40" s="20" t="s">
        <v>223</v>
      </c>
      <c r="D40" s="8"/>
      <c r="E40" s="8"/>
      <c r="F40" s="32"/>
      <c r="G40" s="8" t="s">
        <v>54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>
        <v>100</v>
      </c>
      <c r="T40" s="8"/>
      <c r="U40" s="8"/>
      <c r="V40" s="8"/>
      <c r="W40" s="8"/>
      <c r="X40" s="8"/>
      <c r="Y40" s="8"/>
      <c r="Z40" s="8"/>
      <c r="AA40" s="15">
        <f t="shared" si="0"/>
        <v>100</v>
      </c>
    </row>
    <row r="41" spans="1:27" x14ac:dyDescent="0.35">
      <c r="B41" s="6" t="s">
        <v>9</v>
      </c>
      <c r="C41" s="6" t="s">
        <v>9</v>
      </c>
      <c r="D41" s="10" t="s">
        <v>169</v>
      </c>
      <c r="E41" s="10"/>
      <c r="F41" s="29"/>
      <c r="G41" s="10" t="s">
        <v>54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8">
        <v>100</v>
      </c>
      <c r="T41" s="10"/>
      <c r="U41" s="10"/>
      <c r="V41" s="10"/>
      <c r="W41" s="10"/>
      <c r="X41" s="10"/>
      <c r="Y41" s="10"/>
      <c r="Z41" s="10"/>
      <c r="AA41" s="15">
        <f t="shared" si="0"/>
        <v>100</v>
      </c>
    </row>
    <row r="42" spans="1:27" x14ac:dyDescent="0.35">
      <c r="B42" s="6" t="s">
        <v>10</v>
      </c>
      <c r="C42" s="6" t="s">
        <v>10</v>
      </c>
      <c r="D42" s="10" t="s">
        <v>170</v>
      </c>
      <c r="E42" s="10"/>
      <c r="F42" s="29"/>
      <c r="G42" s="10" t="s">
        <v>54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5">
        <f t="shared" si="0"/>
        <v>0</v>
      </c>
    </row>
    <row r="43" spans="1:27" x14ac:dyDescent="0.35">
      <c r="B43" s="6" t="s">
        <v>11</v>
      </c>
      <c r="C43" s="6" t="s">
        <v>11</v>
      </c>
      <c r="D43" s="10" t="s">
        <v>171</v>
      </c>
      <c r="E43" s="10"/>
      <c r="F43" s="29"/>
      <c r="G43" s="10" t="s">
        <v>120</v>
      </c>
      <c r="H43" s="45">
        <v>30</v>
      </c>
      <c r="I43" s="10"/>
      <c r="J43" s="10"/>
      <c r="K43" s="10"/>
      <c r="L43" s="45">
        <v>5</v>
      </c>
      <c r="M43" s="10"/>
      <c r="N43" s="10"/>
      <c r="O43" s="10"/>
      <c r="P43" s="10"/>
      <c r="Q43" s="45">
        <v>30</v>
      </c>
      <c r="R43" s="10"/>
      <c r="S43" s="8">
        <v>35</v>
      </c>
      <c r="T43" s="10"/>
      <c r="U43" s="10"/>
      <c r="V43" s="10"/>
      <c r="W43" s="10"/>
      <c r="X43" s="10"/>
      <c r="Y43" s="10"/>
      <c r="Z43" s="10"/>
      <c r="AA43" s="15">
        <f t="shared" si="0"/>
        <v>100</v>
      </c>
    </row>
    <row r="44" spans="1:27" x14ac:dyDescent="0.35">
      <c r="B44" s="6" t="s">
        <v>12</v>
      </c>
      <c r="C44" s="6" t="s">
        <v>12</v>
      </c>
      <c r="D44" s="10" t="s">
        <v>172</v>
      </c>
      <c r="E44" s="10"/>
      <c r="F44" s="29"/>
      <c r="G44" s="10" t="s">
        <v>54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8">
        <v>100</v>
      </c>
      <c r="T44" s="10"/>
      <c r="U44" s="10"/>
      <c r="V44" s="10"/>
      <c r="W44" s="10"/>
      <c r="X44" s="10"/>
      <c r="Y44" s="10"/>
      <c r="Z44" s="10"/>
      <c r="AA44" s="15">
        <f t="shared" si="0"/>
        <v>100</v>
      </c>
    </row>
    <row r="45" spans="1:27" x14ac:dyDescent="0.35">
      <c r="B45" s="6" t="s">
        <v>13</v>
      </c>
      <c r="C45" s="6" t="s">
        <v>13</v>
      </c>
      <c r="D45" s="10" t="s">
        <v>173</v>
      </c>
      <c r="E45" s="10"/>
      <c r="F45" s="29"/>
      <c r="G45" s="10" t="s">
        <v>54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8">
        <v>100</v>
      </c>
      <c r="T45" s="10"/>
      <c r="U45" s="10"/>
      <c r="V45" s="10"/>
      <c r="W45" s="10"/>
      <c r="X45" s="10"/>
      <c r="Y45" s="10"/>
      <c r="Z45" s="10"/>
      <c r="AA45" s="15">
        <f t="shared" si="0"/>
        <v>100</v>
      </c>
    </row>
    <row r="46" spans="1:27" x14ac:dyDescent="0.35">
      <c r="B46" s="6" t="s">
        <v>14</v>
      </c>
      <c r="C46" s="6" t="s">
        <v>14</v>
      </c>
      <c r="D46" s="10" t="s">
        <v>174</v>
      </c>
      <c r="E46" s="10"/>
      <c r="F46" s="29"/>
      <c r="G46" s="10" t="s">
        <v>54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8">
        <v>100</v>
      </c>
      <c r="T46" s="10"/>
      <c r="U46" s="10"/>
      <c r="V46" s="10"/>
      <c r="W46" s="10"/>
      <c r="X46" s="10"/>
      <c r="Y46" s="10"/>
      <c r="Z46" s="10"/>
      <c r="AA46" s="15">
        <f t="shared" si="0"/>
        <v>100</v>
      </c>
    </row>
    <row r="47" spans="1:27" s="3" customFormat="1" x14ac:dyDescent="0.35">
      <c r="A47" s="1"/>
      <c r="B47" s="6" t="s">
        <v>15</v>
      </c>
      <c r="C47" s="6" t="s">
        <v>15</v>
      </c>
      <c r="D47" s="10" t="s">
        <v>175</v>
      </c>
      <c r="E47" s="10"/>
      <c r="F47" s="29"/>
      <c r="G47" s="10" t="s">
        <v>54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8">
        <v>100</v>
      </c>
      <c r="T47" s="10"/>
      <c r="U47" s="10"/>
      <c r="V47" s="10"/>
      <c r="W47" s="10"/>
      <c r="X47" s="10"/>
      <c r="Y47" s="10"/>
      <c r="Z47" s="10"/>
      <c r="AA47" s="15">
        <f t="shared" si="0"/>
        <v>100</v>
      </c>
    </row>
    <row r="48" spans="1:27" s="3" customFormat="1" x14ac:dyDescent="0.35">
      <c r="A48" s="1"/>
      <c r="B48" s="7" t="s">
        <v>16</v>
      </c>
      <c r="C48" s="7" t="s">
        <v>16</v>
      </c>
      <c r="D48" s="12" t="s">
        <v>176</v>
      </c>
      <c r="E48" s="12"/>
      <c r="F48" s="36"/>
      <c r="G48" s="12" t="s">
        <v>54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8">
        <v>100</v>
      </c>
      <c r="T48" s="12"/>
      <c r="U48" s="12"/>
      <c r="V48" s="12"/>
      <c r="W48" s="12"/>
      <c r="X48" s="12"/>
      <c r="Y48" s="12"/>
      <c r="Z48" s="12"/>
      <c r="AA48" s="15">
        <f t="shared" si="0"/>
        <v>100</v>
      </c>
    </row>
    <row r="49" spans="1:27" s="3" customFormat="1" x14ac:dyDescent="0.35">
      <c r="A49" s="1"/>
      <c r="B49" s="6" t="s">
        <v>17</v>
      </c>
      <c r="C49" s="13" t="s">
        <v>17</v>
      </c>
      <c r="D49" s="10" t="s">
        <v>177</v>
      </c>
      <c r="E49" s="10"/>
      <c r="F49" s="29"/>
      <c r="G49" s="10" t="s">
        <v>54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8">
        <v>100</v>
      </c>
      <c r="T49" s="10"/>
      <c r="U49" s="10"/>
      <c r="V49" s="10"/>
      <c r="W49" s="10"/>
      <c r="X49" s="10"/>
      <c r="Y49" s="10"/>
      <c r="Z49" s="10"/>
      <c r="AA49" s="15">
        <f t="shared" si="0"/>
        <v>100</v>
      </c>
    </row>
    <row r="50" spans="1:27" x14ac:dyDescent="0.35">
      <c r="B50" s="22" t="s">
        <v>18</v>
      </c>
      <c r="C50" s="21" t="s">
        <v>111</v>
      </c>
      <c r="D50" s="24"/>
      <c r="E50" s="24"/>
      <c r="F50" s="33"/>
      <c r="G50" s="24" t="s">
        <v>68</v>
      </c>
      <c r="H50" s="24">
        <v>95</v>
      </c>
      <c r="I50" s="24"/>
      <c r="J50" s="24"/>
      <c r="K50" s="24"/>
      <c r="L50" s="24"/>
      <c r="M50" s="24"/>
      <c r="N50" s="24"/>
      <c r="O50" s="24"/>
      <c r="P50" s="24"/>
      <c r="Q50" s="24">
        <v>5</v>
      </c>
      <c r="R50" s="24"/>
      <c r="S50" s="24"/>
      <c r="T50" s="24"/>
      <c r="U50" s="24"/>
      <c r="V50" s="24"/>
      <c r="W50" s="24"/>
      <c r="X50" s="24"/>
      <c r="Y50" s="24"/>
      <c r="Z50" s="24"/>
      <c r="AA50" s="15">
        <f t="shared" si="0"/>
        <v>100</v>
      </c>
    </row>
    <row r="51" spans="1:27" s="3" customFormat="1" x14ac:dyDescent="0.35">
      <c r="A51" s="1"/>
      <c r="B51" s="6"/>
      <c r="C51" s="21" t="s">
        <v>224</v>
      </c>
      <c r="D51" s="10"/>
      <c r="E51" s="10"/>
      <c r="F51" s="29"/>
      <c r="G51" s="10" t="s">
        <v>68</v>
      </c>
      <c r="H51" s="45">
        <v>95</v>
      </c>
      <c r="I51" s="10"/>
      <c r="J51" s="10"/>
      <c r="K51" s="10"/>
      <c r="L51" s="10"/>
      <c r="M51" s="10"/>
      <c r="N51" s="10"/>
      <c r="O51" s="10"/>
      <c r="P51" s="10"/>
      <c r="Q51" s="45">
        <v>5</v>
      </c>
      <c r="R51" s="10"/>
      <c r="S51" s="10"/>
      <c r="T51" s="10"/>
      <c r="U51" s="10"/>
      <c r="V51" s="10"/>
      <c r="W51" s="10"/>
      <c r="X51" s="10"/>
      <c r="Y51" s="10"/>
      <c r="Z51" s="10"/>
      <c r="AA51" s="15">
        <f t="shared" si="0"/>
        <v>100</v>
      </c>
    </row>
    <row r="52" spans="1:27" x14ac:dyDescent="0.35">
      <c r="B52" s="22" t="s">
        <v>19</v>
      </c>
      <c r="C52" s="23" t="s">
        <v>112</v>
      </c>
      <c r="D52" s="24"/>
      <c r="E52" s="24"/>
      <c r="F52" s="33"/>
      <c r="G52" s="24" t="s">
        <v>54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>
        <v>100</v>
      </c>
      <c r="T52" s="24"/>
      <c r="U52" s="24"/>
      <c r="V52" s="24"/>
      <c r="W52" s="24"/>
      <c r="X52" s="24"/>
      <c r="Y52" s="24"/>
      <c r="Z52" s="24"/>
      <c r="AA52" s="15">
        <f t="shared" si="0"/>
        <v>100</v>
      </c>
    </row>
    <row r="53" spans="1:27" s="3" customFormat="1" x14ac:dyDescent="0.35">
      <c r="A53" s="1"/>
      <c r="B53" s="6"/>
      <c r="C53" s="25" t="s">
        <v>225</v>
      </c>
      <c r="D53" s="10"/>
      <c r="E53" s="10"/>
      <c r="F53" s="29"/>
      <c r="G53" s="10" t="s">
        <v>54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8">
        <v>100</v>
      </c>
      <c r="T53" s="10"/>
      <c r="U53" s="10"/>
      <c r="V53" s="10"/>
      <c r="W53" s="10"/>
      <c r="X53" s="10"/>
      <c r="Y53" s="10"/>
      <c r="Z53" s="10"/>
      <c r="AA53" s="15">
        <f t="shared" si="0"/>
        <v>100</v>
      </c>
    </row>
    <row r="54" spans="1:27" s="3" customFormat="1" x14ac:dyDescent="0.35">
      <c r="A54" s="1"/>
      <c r="B54" s="6" t="s">
        <v>20</v>
      </c>
      <c r="C54" s="6" t="s">
        <v>20</v>
      </c>
      <c r="D54" s="10" t="s">
        <v>178</v>
      </c>
      <c r="E54" s="10"/>
      <c r="F54" s="29"/>
      <c r="G54" s="10" t="s">
        <v>121</v>
      </c>
      <c r="H54" s="45"/>
      <c r="I54" s="45">
        <v>30</v>
      </c>
      <c r="J54" s="10"/>
      <c r="K54" s="10"/>
      <c r="L54" s="10"/>
      <c r="M54" s="10"/>
      <c r="N54" s="10"/>
      <c r="O54" s="10"/>
      <c r="P54" s="10"/>
      <c r="Q54" s="45">
        <v>20</v>
      </c>
      <c r="R54" s="45">
        <v>50</v>
      </c>
      <c r="S54" s="10"/>
      <c r="T54" s="10"/>
      <c r="U54" s="10"/>
      <c r="V54" s="10"/>
      <c r="W54" s="10"/>
      <c r="X54" s="10"/>
      <c r="Y54" s="10"/>
      <c r="Z54" s="10"/>
      <c r="AA54" s="15">
        <f t="shared" si="0"/>
        <v>100</v>
      </c>
    </row>
    <row r="55" spans="1:27" s="3" customFormat="1" x14ac:dyDescent="0.35">
      <c r="A55" s="1"/>
      <c r="B55" s="7" t="s">
        <v>21</v>
      </c>
      <c r="C55" s="7" t="s">
        <v>21</v>
      </c>
      <c r="D55" s="12" t="s">
        <v>179</v>
      </c>
      <c r="E55" s="12"/>
      <c r="F55" s="36"/>
      <c r="G55" s="12" t="s">
        <v>123</v>
      </c>
      <c r="H55" s="12"/>
      <c r="I55" s="12"/>
      <c r="J55" s="12"/>
      <c r="K55" s="46">
        <v>100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5">
        <f t="shared" si="0"/>
        <v>100</v>
      </c>
    </row>
    <row r="56" spans="1:27" s="15" customFormat="1" x14ac:dyDescent="0.35">
      <c r="A56" s="14"/>
      <c r="B56" s="13" t="s">
        <v>22</v>
      </c>
      <c r="C56" s="21" t="s">
        <v>113</v>
      </c>
      <c r="D56" s="15" t="s">
        <v>180</v>
      </c>
      <c r="F56" s="37"/>
      <c r="G56" s="15" t="s">
        <v>68</v>
      </c>
      <c r="H56" s="47">
        <v>50</v>
      </c>
      <c r="I56" s="47">
        <v>50</v>
      </c>
      <c r="AA56" s="15">
        <f t="shared" si="0"/>
        <v>100</v>
      </c>
    </row>
    <row r="57" spans="1:27" s="3" customFormat="1" x14ac:dyDescent="0.35">
      <c r="A57" s="1"/>
      <c r="B57" s="6"/>
      <c r="C57" s="20" t="s">
        <v>226</v>
      </c>
      <c r="D57" s="10"/>
      <c r="E57" s="10"/>
      <c r="F57" s="2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5">
        <f t="shared" si="0"/>
        <v>0</v>
      </c>
    </row>
    <row r="58" spans="1:27" s="3" customFormat="1" x14ac:dyDescent="0.35">
      <c r="A58" s="1"/>
      <c r="B58" s="6" t="s">
        <v>23</v>
      </c>
      <c r="C58" s="6" t="s">
        <v>23</v>
      </c>
      <c r="D58" s="10" t="s">
        <v>181</v>
      </c>
      <c r="E58" s="10"/>
      <c r="F58" s="29"/>
      <c r="G58" s="10" t="s">
        <v>131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5">
        <f t="shared" si="0"/>
        <v>0</v>
      </c>
    </row>
    <row r="59" spans="1:27" s="3" customFormat="1" x14ac:dyDescent="0.35">
      <c r="A59" s="1"/>
      <c r="B59" s="2" t="s">
        <v>24</v>
      </c>
      <c r="C59" s="19" t="s">
        <v>94</v>
      </c>
      <c r="D59" s="1" t="s">
        <v>215</v>
      </c>
      <c r="E59" s="1"/>
      <c r="F59" s="26"/>
      <c r="G59" s="1" t="s">
        <v>67</v>
      </c>
      <c r="H59" s="1"/>
      <c r="I59" s="1">
        <v>50</v>
      </c>
      <c r="J59" s="1"/>
      <c r="K59" s="1"/>
      <c r="L59" s="1"/>
      <c r="M59" s="1"/>
      <c r="N59" s="1"/>
      <c r="O59" s="1"/>
      <c r="P59" s="1"/>
      <c r="Q59" s="1"/>
      <c r="R59" s="1">
        <v>50</v>
      </c>
      <c r="S59" s="1"/>
      <c r="T59" s="1"/>
      <c r="U59" s="1"/>
      <c r="V59" s="1"/>
      <c r="W59" s="1"/>
      <c r="X59" s="1"/>
      <c r="Y59" s="1"/>
      <c r="Z59" s="1"/>
      <c r="AA59" s="15">
        <f t="shared" si="0"/>
        <v>100</v>
      </c>
    </row>
    <row r="60" spans="1:27" s="3" customFormat="1" x14ac:dyDescent="0.35">
      <c r="A60" s="1"/>
      <c r="B60" s="2"/>
      <c r="C60" s="19" t="s">
        <v>95</v>
      </c>
      <c r="D60" s="1" t="s">
        <v>216</v>
      </c>
      <c r="E60" s="1"/>
      <c r="F60" s="26"/>
      <c r="G60" s="1" t="s">
        <v>66</v>
      </c>
      <c r="H60" s="1"/>
      <c r="I60" s="1"/>
      <c r="J60" s="1"/>
      <c r="K60" s="1"/>
      <c r="L60" s="1">
        <v>100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5">
        <f t="shared" si="0"/>
        <v>100</v>
      </c>
    </row>
    <row r="61" spans="1:27" s="3" customFormat="1" x14ac:dyDescent="0.35">
      <c r="A61" s="1"/>
      <c r="B61" s="2"/>
      <c r="C61" s="19" t="s">
        <v>96</v>
      </c>
      <c r="D61" s="1" t="s">
        <v>217</v>
      </c>
      <c r="E61" s="1" t="s">
        <v>69</v>
      </c>
      <c r="F61" s="26"/>
      <c r="G61" s="1" t="s">
        <v>68</v>
      </c>
      <c r="H61" s="1"/>
      <c r="I61" s="1">
        <v>100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5">
        <f t="shared" si="0"/>
        <v>100</v>
      </c>
    </row>
    <row r="62" spans="1:27" s="3" customFormat="1" x14ac:dyDescent="0.35">
      <c r="A62" s="1"/>
      <c r="B62" s="2"/>
      <c r="C62" s="19" t="s">
        <v>97</v>
      </c>
      <c r="D62" s="1" t="s">
        <v>182</v>
      </c>
      <c r="E62" s="1" t="s">
        <v>63</v>
      </c>
      <c r="F62" s="26"/>
      <c r="G62" s="1" t="s">
        <v>135</v>
      </c>
      <c r="H62" s="1"/>
      <c r="I62" s="1"/>
      <c r="J62" s="1"/>
      <c r="K62" s="1">
        <v>20</v>
      </c>
      <c r="L62" s="1"/>
      <c r="M62" s="1"/>
      <c r="N62" s="1"/>
      <c r="O62" s="1"/>
      <c r="P62" s="1"/>
      <c r="Q62" s="1">
        <v>20</v>
      </c>
      <c r="R62" s="1">
        <v>60</v>
      </c>
      <c r="S62" s="1"/>
      <c r="T62" s="1"/>
      <c r="U62" s="1"/>
      <c r="V62" s="1"/>
      <c r="W62" s="1"/>
      <c r="X62" s="1"/>
      <c r="Y62" s="1"/>
      <c r="Z62" s="1"/>
      <c r="AA62" s="15">
        <f t="shared" si="0"/>
        <v>100</v>
      </c>
    </row>
    <row r="63" spans="1:27" s="3" customFormat="1" x14ac:dyDescent="0.35">
      <c r="A63" s="1"/>
      <c r="B63" s="2"/>
      <c r="C63" s="19" t="s">
        <v>98</v>
      </c>
      <c r="D63" s="1" t="s">
        <v>218</v>
      </c>
      <c r="E63" s="1" t="s">
        <v>64</v>
      </c>
      <c r="F63" s="26"/>
      <c r="G63" s="1" t="s">
        <v>221</v>
      </c>
      <c r="H63" s="1"/>
      <c r="I63" s="1">
        <v>100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5">
        <f t="shared" si="0"/>
        <v>100</v>
      </c>
    </row>
    <row r="64" spans="1:27" s="3" customFormat="1" x14ac:dyDescent="0.35">
      <c r="A64" s="1"/>
      <c r="B64" s="2"/>
      <c r="C64" s="19" t="s">
        <v>99</v>
      </c>
      <c r="D64" s="1" t="s">
        <v>219</v>
      </c>
      <c r="E64" s="1" t="s">
        <v>65</v>
      </c>
      <c r="F64" s="26"/>
      <c r="G64" s="1" t="s">
        <v>59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>
        <v>100</v>
      </c>
      <c r="T64" s="1"/>
      <c r="U64" s="1"/>
      <c r="V64" s="1"/>
      <c r="W64" s="1"/>
      <c r="X64" s="1"/>
      <c r="Y64" s="1"/>
      <c r="Z64" s="1"/>
      <c r="AA64" s="15">
        <f t="shared" si="0"/>
        <v>100</v>
      </c>
    </row>
    <row r="65" spans="1:28" s="3" customFormat="1" x14ac:dyDescent="0.35">
      <c r="A65" s="1"/>
      <c r="B65" s="6"/>
      <c r="C65" s="20" t="s">
        <v>100</v>
      </c>
      <c r="D65" s="8"/>
      <c r="E65" s="8" t="s">
        <v>57</v>
      </c>
      <c r="F65" s="32"/>
      <c r="G65" s="8" t="s">
        <v>131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5">
        <f t="shared" si="0"/>
        <v>0</v>
      </c>
    </row>
    <row r="66" spans="1:28" s="15" customFormat="1" x14ac:dyDescent="0.35">
      <c r="A66" s="14"/>
      <c r="B66" s="13" t="s">
        <v>25</v>
      </c>
      <c r="C66" s="21" t="s">
        <v>114</v>
      </c>
      <c r="D66" s="14"/>
      <c r="E66" s="14"/>
      <c r="F66" s="34"/>
      <c r="G66" s="14" t="s">
        <v>68</v>
      </c>
      <c r="H66" s="14"/>
      <c r="I66" s="14">
        <v>100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>
        <f t="shared" si="0"/>
        <v>100</v>
      </c>
    </row>
    <row r="67" spans="1:28" s="3" customFormat="1" x14ac:dyDescent="0.35">
      <c r="A67" s="1"/>
      <c r="B67" s="6"/>
      <c r="C67" s="20" t="s">
        <v>228</v>
      </c>
      <c r="D67" s="10"/>
      <c r="E67" s="10"/>
      <c r="F67" s="29"/>
      <c r="G67" s="10" t="s">
        <v>68</v>
      </c>
      <c r="H67" s="10"/>
      <c r="I67" s="45">
        <v>100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5">
        <f t="shared" si="0"/>
        <v>100</v>
      </c>
    </row>
    <row r="68" spans="1:28" s="15" customFormat="1" x14ac:dyDescent="0.35">
      <c r="A68" s="14"/>
      <c r="B68" s="13" t="s">
        <v>26</v>
      </c>
      <c r="C68" s="21" t="s">
        <v>115</v>
      </c>
      <c r="F68" s="37"/>
      <c r="G68" s="15" t="s">
        <v>54</v>
      </c>
      <c r="S68" s="47">
        <v>100</v>
      </c>
      <c r="AA68" s="15">
        <f t="shared" ref="AA68:AA71" si="1">SUM(H68:Z68)</f>
        <v>100</v>
      </c>
    </row>
    <row r="69" spans="1:28" s="3" customFormat="1" x14ac:dyDescent="0.35">
      <c r="A69" s="1"/>
      <c r="B69" s="6"/>
      <c r="C69" s="20" t="s">
        <v>227</v>
      </c>
      <c r="D69" s="10"/>
      <c r="E69" s="10"/>
      <c r="F69" s="2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45">
        <v>100</v>
      </c>
      <c r="T69" s="10"/>
      <c r="U69" s="10"/>
      <c r="V69" s="10"/>
      <c r="W69" s="10"/>
      <c r="X69" s="10"/>
      <c r="Y69" s="10"/>
      <c r="Z69" s="10"/>
      <c r="AA69" s="15">
        <f t="shared" si="1"/>
        <v>100</v>
      </c>
    </row>
    <row r="70" spans="1:28" s="3" customFormat="1" x14ac:dyDescent="0.35">
      <c r="A70" s="1"/>
      <c r="B70" s="13" t="s">
        <v>27</v>
      </c>
      <c r="C70" s="21" t="s">
        <v>101</v>
      </c>
      <c r="D70" s="15" t="s">
        <v>183</v>
      </c>
      <c r="E70" s="15"/>
      <c r="F70" s="37"/>
      <c r="G70" s="15" t="s">
        <v>122</v>
      </c>
      <c r="H70" s="15"/>
      <c r="I70" s="15"/>
      <c r="J70" s="15"/>
      <c r="K70" s="15"/>
      <c r="L70" s="15"/>
      <c r="M70" s="15"/>
      <c r="N70" s="15"/>
      <c r="O70" s="47">
        <v>100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>
        <f t="shared" si="1"/>
        <v>100</v>
      </c>
    </row>
    <row r="71" spans="1:28" s="3" customFormat="1" x14ac:dyDescent="0.35">
      <c r="A71" s="1"/>
      <c r="B71" s="6"/>
      <c r="C71" s="20" t="s">
        <v>102</v>
      </c>
      <c r="D71" s="10" t="s">
        <v>184</v>
      </c>
      <c r="E71" s="10"/>
      <c r="F71" s="29"/>
      <c r="G71" s="10" t="s">
        <v>122</v>
      </c>
      <c r="H71" s="10"/>
      <c r="I71" s="10"/>
      <c r="J71" s="10"/>
      <c r="K71" s="10"/>
      <c r="L71" s="10"/>
      <c r="M71" s="10"/>
      <c r="N71" s="10"/>
      <c r="O71" s="45">
        <v>100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5">
        <f t="shared" si="1"/>
        <v>100</v>
      </c>
    </row>
    <row r="72" spans="1:28" s="15" customFormat="1" x14ac:dyDescent="0.35">
      <c r="A72" s="14"/>
      <c r="B72" s="13" t="s">
        <v>28</v>
      </c>
      <c r="C72" s="21" t="s">
        <v>116</v>
      </c>
      <c r="D72" s="15" t="s">
        <v>185</v>
      </c>
      <c r="F72" s="37"/>
      <c r="G72" s="15" t="s">
        <v>120</v>
      </c>
      <c r="I72" s="47">
        <v>20</v>
      </c>
      <c r="L72" s="47">
        <v>35</v>
      </c>
      <c r="Q72" s="47">
        <v>5</v>
      </c>
      <c r="S72" s="47">
        <v>40</v>
      </c>
      <c r="AA72" s="15">
        <f>SUM(H72:Z72)</f>
        <v>100</v>
      </c>
    </row>
    <row r="73" spans="1:28" s="3" customFormat="1" x14ac:dyDescent="0.35">
      <c r="A73" s="1"/>
      <c r="B73" s="6"/>
      <c r="C73" s="20" t="s">
        <v>229</v>
      </c>
      <c r="D73" s="10"/>
      <c r="E73" s="10"/>
      <c r="F73" s="2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5">
        <f t="shared" ref="AA73:AA97" si="2">SUM(H73:Z73)</f>
        <v>0</v>
      </c>
    </row>
    <row r="74" spans="1:28" s="3" customFormat="1" x14ac:dyDescent="0.35">
      <c r="A74" s="1"/>
      <c r="B74" s="6" t="s">
        <v>29</v>
      </c>
      <c r="C74" s="6" t="s">
        <v>29</v>
      </c>
      <c r="D74" s="10" t="s">
        <v>186</v>
      </c>
      <c r="E74" s="10"/>
      <c r="F74" s="29"/>
      <c r="G74" s="10" t="s">
        <v>122</v>
      </c>
      <c r="H74" s="10"/>
      <c r="I74" s="10"/>
      <c r="J74" s="10"/>
      <c r="K74" s="10"/>
      <c r="L74" s="10"/>
      <c r="M74" s="10"/>
      <c r="N74" s="10"/>
      <c r="O74" s="45">
        <v>100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5">
        <f t="shared" si="2"/>
        <v>100</v>
      </c>
    </row>
    <row r="75" spans="1:28" s="3" customFormat="1" x14ac:dyDescent="0.35">
      <c r="A75" s="1"/>
      <c r="B75" s="6" t="s">
        <v>30</v>
      </c>
      <c r="C75" s="6" t="s">
        <v>30</v>
      </c>
      <c r="D75" s="10"/>
      <c r="E75" s="10"/>
      <c r="F75" s="29"/>
      <c r="G75" s="10" t="s">
        <v>124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45">
        <v>50</v>
      </c>
      <c r="W75" s="45">
        <v>50</v>
      </c>
      <c r="X75" s="10"/>
      <c r="Y75" s="10"/>
      <c r="Z75" s="10"/>
      <c r="AA75" s="15">
        <f t="shared" si="2"/>
        <v>100</v>
      </c>
      <c r="AB75" s="3" t="s">
        <v>249</v>
      </c>
    </row>
    <row r="76" spans="1:28" s="3" customFormat="1" x14ac:dyDescent="0.35">
      <c r="A76" s="1"/>
      <c r="B76" s="5" t="s">
        <v>31</v>
      </c>
      <c r="C76" s="19" t="s">
        <v>103</v>
      </c>
      <c r="D76" s="3" t="s">
        <v>187</v>
      </c>
      <c r="E76" s="3" t="s">
        <v>70</v>
      </c>
      <c r="F76" s="27"/>
      <c r="G76" s="3" t="s">
        <v>122</v>
      </c>
      <c r="L76" s="48">
        <v>95</v>
      </c>
      <c r="M76" s="48">
        <v>5</v>
      </c>
      <c r="AA76" s="15">
        <f t="shared" si="2"/>
        <v>100</v>
      </c>
    </row>
    <row r="77" spans="1:28" s="3" customFormat="1" x14ac:dyDescent="0.35">
      <c r="A77" s="1"/>
      <c r="B77" s="17"/>
      <c r="C77" s="20" t="s">
        <v>104</v>
      </c>
      <c r="D77" s="10" t="s">
        <v>188</v>
      </c>
      <c r="E77" s="10" t="s">
        <v>71</v>
      </c>
      <c r="F77" s="29"/>
      <c r="G77" s="10" t="s">
        <v>120</v>
      </c>
      <c r="H77" s="10"/>
      <c r="I77" s="45">
        <v>25</v>
      </c>
      <c r="J77" s="10"/>
      <c r="K77" s="10"/>
      <c r="L77" s="45">
        <v>50</v>
      </c>
      <c r="M77" s="10"/>
      <c r="N77" s="10"/>
      <c r="O77" s="10"/>
      <c r="P77" s="10"/>
      <c r="Q77" s="10"/>
      <c r="R77" s="10"/>
      <c r="S77" s="45">
        <v>25</v>
      </c>
      <c r="T77" s="10"/>
      <c r="U77" s="10"/>
      <c r="V77" s="10"/>
      <c r="W77" s="10"/>
      <c r="X77" s="10"/>
      <c r="Y77" s="10"/>
      <c r="Z77" s="10"/>
      <c r="AA77" s="15">
        <f t="shared" si="2"/>
        <v>100</v>
      </c>
    </row>
    <row r="78" spans="1:28" s="3" customFormat="1" x14ac:dyDescent="0.35">
      <c r="A78" s="1"/>
      <c r="B78" s="2" t="s">
        <v>32</v>
      </c>
      <c r="C78" s="19" t="s">
        <v>105</v>
      </c>
      <c r="D78" s="3" t="s">
        <v>189</v>
      </c>
      <c r="F78" s="27"/>
      <c r="G78" s="3" t="s">
        <v>125</v>
      </c>
      <c r="I78" s="48">
        <v>35</v>
      </c>
      <c r="L78" s="48">
        <v>55</v>
      </c>
      <c r="Q78" s="48">
        <v>10</v>
      </c>
      <c r="AA78" s="15">
        <f t="shared" si="2"/>
        <v>100</v>
      </c>
    </row>
    <row r="79" spans="1:28" s="3" customFormat="1" x14ac:dyDescent="0.35">
      <c r="A79" s="1"/>
      <c r="B79" s="6"/>
      <c r="C79" s="20" t="s">
        <v>106</v>
      </c>
      <c r="D79" s="10" t="s">
        <v>190</v>
      </c>
      <c r="E79" s="10"/>
      <c r="F79" s="29"/>
      <c r="G79" s="10" t="s">
        <v>125</v>
      </c>
      <c r="H79" s="10"/>
      <c r="I79" s="45">
        <v>20</v>
      </c>
      <c r="J79" s="10"/>
      <c r="K79" s="10"/>
      <c r="L79" s="45">
        <v>70</v>
      </c>
      <c r="M79" s="10"/>
      <c r="N79" s="10"/>
      <c r="O79" s="10"/>
      <c r="P79" s="10"/>
      <c r="Q79" s="45">
        <v>10</v>
      </c>
      <c r="R79" s="10"/>
      <c r="S79" s="10"/>
      <c r="T79" s="10"/>
      <c r="U79" s="10"/>
      <c r="V79" s="10"/>
      <c r="W79" s="10"/>
      <c r="X79" s="10"/>
      <c r="Y79" s="10"/>
      <c r="Z79" s="10"/>
      <c r="AA79" s="15">
        <f t="shared" si="2"/>
        <v>100</v>
      </c>
    </row>
    <row r="80" spans="1:28" s="3" customFormat="1" x14ac:dyDescent="0.35">
      <c r="A80" s="1"/>
      <c r="B80" s="6" t="s">
        <v>33</v>
      </c>
      <c r="C80" s="6" t="s">
        <v>33</v>
      </c>
      <c r="D80" s="10" t="s">
        <v>191</v>
      </c>
      <c r="E80" s="10"/>
      <c r="F80" s="29"/>
      <c r="G80" s="10" t="s">
        <v>131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5">
        <f t="shared" si="2"/>
        <v>0</v>
      </c>
    </row>
    <row r="81" spans="1:27" s="3" customFormat="1" x14ac:dyDescent="0.35">
      <c r="A81" s="1"/>
      <c r="B81" s="6" t="s">
        <v>34</v>
      </c>
      <c r="C81" s="6" t="s">
        <v>34</v>
      </c>
      <c r="D81" s="10" t="s">
        <v>192</v>
      </c>
      <c r="E81" s="10"/>
      <c r="F81" s="29"/>
      <c r="G81" s="10" t="s">
        <v>125</v>
      </c>
      <c r="H81" s="10"/>
      <c r="I81" s="45">
        <v>50</v>
      </c>
      <c r="J81" s="10"/>
      <c r="K81" s="10"/>
      <c r="L81" s="10"/>
      <c r="M81" s="10"/>
      <c r="N81" s="10"/>
      <c r="O81" s="10"/>
      <c r="P81" s="10"/>
      <c r="Q81" s="10"/>
      <c r="R81" s="10"/>
      <c r="S81" s="45">
        <v>50</v>
      </c>
      <c r="T81" s="10"/>
      <c r="U81" s="10"/>
      <c r="V81" s="10"/>
      <c r="W81" s="10"/>
      <c r="X81" s="10"/>
      <c r="Y81" s="10"/>
      <c r="Z81" s="10"/>
      <c r="AA81" s="15">
        <f t="shared" si="2"/>
        <v>100</v>
      </c>
    </row>
    <row r="82" spans="1:27" s="3" customFormat="1" x14ac:dyDescent="0.35">
      <c r="A82" s="1"/>
      <c r="B82" s="6" t="s">
        <v>35</v>
      </c>
      <c r="C82" s="6" t="s">
        <v>35</v>
      </c>
      <c r="D82" s="10" t="s">
        <v>193</v>
      </c>
      <c r="E82" s="10"/>
      <c r="F82" s="29"/>
      <c r="G82" s="10" t="s">
        <v>54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45">
        <v>100</v>
      </c>
      <c r="T82" s="10"/>
      <c r="U82" s="10"/>
      <c r="V82" s="10"/>
      <c r="W82" s="10"/>
      <c r="X82" s="10"/>
      <c r="Y82" s="10"/>
      <c r="Z82" s="10"/>
      <c r="AA82" s="15">
        <f t="shared" si="2"/>
        <v>100</v>
      </c>
    </row>
    <row r="83" spans="1:27" s="3" customFormat="1" x14ac:dyDescent="0.35">
      <c r="A83" s="1"/>
      <c r="B83" s="6" t="s">
        <v>36</v>
      </c>
      <c r="C83" s="6" t="s">
        <v>36</v>
      </c>
      <c r="D83" s="10" t="s">
        <v>194</v>
      </c>
      <c r="E83" s="10"/>
      <c r="F83" s="29"/>
      <c r="G83" s="10" t="s">
        <v>54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45">
        <v>100</v>
      </c>
      <c r="T83" s="10"/>
      <c r="U83" s="10"/>
      <c r="V83" s="10"/>
      <c r="W83" s="10"/>
      <c r="X83" s="10"/>
      <c r="Y83" s="10"/>
      <c r="Z83" s="10"/>
      <c r="AA83" s="15">
        <f t="shared" si="2"/>
        <v>100</v>
      </c>
    </row>
    <row r="84" spans="1:27" s="3" customFormat="1" x14ac:dyDescent="0.35">
      <c r="A84" s="1"/>
      <c r="B84" s="6" t="s">
        <v>37</v>
      </c>
      <c r="C84" s="6" t="s">
        <v>37</v>
      </c>
      <c r="D84" s="10" t="s">
        <v>195</v>
      </c>
      <c r="E84" s="10"/>
      <c r="F84" s="29"/>
      <c r="G84" s="10" t="s">
        <v>54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45">
        <v>100</v>
      </c>
      <c r="T84" s="10"/>
      <c r="U84" s="10"/>
      <c r="V84" s="10"/>
      <c r="W84" s="10"/>
      <c r="X84" s="10"/>
      <c r="Y84" s="10"/>
      <c r="Z84" s="10"/>
      <c r="AA84" s="15">
        <f t="shared" si="2"/>
        <v>100</v>
      </c>
    </row>
    <row r="85" spans="1:27" s="3" customFormat="1" x14ac:dyDescent="0.35">
      <c r="A85" s="1"/>
      <c r="B85" s="6" t="s">
        <v>38</v>
      </c>
      <c r="C85" s="6" t="s">
        <v>38</v>
      </c>
      <c r="D85" s="10" t="s">
        <v>196</v>
      </c>
      <c r="E85" s="10"/>
      <c r="F85" s="29"/>
      <c r="G85" s="10" t="s">
        <v>122</v>
      </c>
      <c r="H85" s="10"/>
      <c r="I85" s="10"/>
      <c r="J85" s="10"/>
      <c r="K85" s="10"/>
      <c r="L85" s="45">
        <v>100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5">
        <f t="shared" si="2"/>
        <v>100</v>
      </c>
    </row>
    <row r="86" spans="1:27" s="3" customFormat="1" x14ac:dyDescent="0.35">
      <c r="A86" s="1"/>
      <c r="B86" s="6" t="s">
        <v>39</v>
      </c>
      <c r="C86" s="6" t="s">
        <v>39</v>
      </c>
      <c r="D86" s="10" t="s">
        <v>197</v>
      </c>
      <c r="E86" s="10"/>
      <c r="F86" s="29"/>
      <c r="G86" s="10" t="s">
        <v>126</v>
      </c>
      <c r="H86" s="10"/>
      <c r="I86" s="45">
        <v>50</v>
      </c>
      <c r="J86" s="10"/>
      <c r="K86" s="10"/>
      <c r="L86" s="10"/>
      <c r="M86" s="10"/>
      <c r="N86" s="10"/>
      <c r="O86" s="10"/>
      <c r="P86" s="10"/>
      <c r="Q86" s="10"/>
      <c r="R86" s="45">
        <v>50</v>
      </c>
      <c r="S86" s="10"/>
      <c r="T86" s="10"/>
      <c r="U86" s="10"/>
      <c r="V86" s="10"/>
      <c r="W86" s="10"/>
      <c r="X86" s="10"/>
      <c r="Y86" s="10"/>
      <c r="Z86" s="10"/>
      <c r="AA86" s="15">
        <f t="shared" si="2"/>
        <v>100</v>
      </c>
    </row>
    <row r="87" spans="1:27" s="3" customFormat="1" x14ac:dyDescent="0.35">
      <c r="A87" s="1"/>
      <c r="B87" s="6" t="s">
        <v>40</v>
      </c>
      <c r="C87" s="6" t="s">
        <v>40</v>
      </c>
      <c r="D87" s="10" t="s">
        <v>198</v>
      </c>
      <c r="E87" s="10"/>
      <c r="F87" s="29"/>
      <c r="G87" s="10" t="s">
        <v>122</v>
      </c>
      <c r="H87" s="10"/>
      <c r="I87" s="10"/>
      <c r="J87" s="10"/>
      <c r="K87" s="10"/>
      <c r="L87" s="10"/>
      <c r="M87" s="10"/>
      <c r="N87" s="10"/>
      <c r="O87" s="45">
        <v>100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5">
        <f t="shared" si="2"/>
        <v>100</v>
      </c>
    </row>
    <row r="88" spans="1:27" s="3" customFormat="1" x14ac:dyDescent="0.35">
      <c r="A88" s="1"/>
      <c r="B88" s="6" t="s">
        <v>41</v>
      </c>
      <c r="C88" s="6" t="s">
        <v>41</v>
      </c>
      <c r="D88" s="10" t="s">
        <v>199</v>
      </c>
      <c r="E88" s="10"/>
      <c r="F88" s="29"/>
      <c r="G88" s="10" t="s">
        <v>120</v>
      </c>
      <c r="H88" s="10"/>
      <c r="I88" s="45">
        <v>50</v>
      </c>
      <c r="J88" s="10"/>
      <c r="K88" s="10"/>
      <c r="L88" s="10"/>
      <c r="M88" s="10"/>
      <c r="N88" s="10"/>
      <c r="O88" s="10"/>
      <c r="P88" s="10"/>
      <c r="Q88" s="45">
        <v>20</v>
      </c>
      <c r="R88" s="10"/>
      <c r="S88" s="45">
        <v>30</v>
      </c>
      <c r="T88" s="10"/>
      <c r="U88" s="10"/>
      <c r="V88" s="10"/>
      <c r="W88" s="10"/>
      <c r="X88" s="10"/>
      <c r="Y88" s="10"/>
      <c r="Z88" s="10"/>
      <c r="AA88" s="15">
        <f t="shared" si="2"/>
        <v>100</v>
      </c>
    </row>
    <row r="89" spans="1:27" s="3" customFormat="1" x14ac:dyDescent="0.35">
      <c r="A89" s="1"/>
      <c r="B89" s="6" t="s">
        <v>42</v>
      </c>
      <c r="C89" s="6" t="s">
        <v>42</v>
      </c>
      <c r="D89" s="10" t="s">
        <v>200</v>
      </c>
      <c r="E89" s="10"/>
      <c r="F89" s="29"/>
      <c r="G89" s="10" t="s">
        <v>127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45">
        <v>100</v>
      </c>
      <c r="S89" s="10"/>
      <c r="T89" s="10"/>
      <c r="U89" s="10"/>
      <c r="V89" s="10"/>
      <c r="W89" s="10"/>
      <c r="X89" s="10"/>
      <c r="Y89" s="10"/>
      <c r="Z89" s="10"/>
      <c r="AA89" s="15">
        <f t="shared" si="2"/>
        <v>100</v>
      </c>
    </row>
    <row r="90" spans="1:27" s="3" customFormat="1" x14ac:dyDescent="0.35">
      <c r="A90" s="1"/>
      <c r="B90" s="6" t="s">
        <v>43</v>
      </c>
      <c r="C90" s="6" t="s">
        <v>43</v>
      </c>
      <c r="D90" s="10" t="s">
        <v>201</v>
      </c>
      <c r="E90" s="10"/>
      <c r="F90" s="29"/>
      <c r="G90" s="10" t="s">
        <v>126</v>
      </c>
      <c r="H90" s="10"/>
      <c r="I90" s="45">
        <v>50</v>
      </c>
      <c r="J90" s="10"/>
      <c r="K90" s="10"/>
      <c r="L90" s="10"/>
      <c r="M90" s="10"/>
      <c r="N90" s="10"/>
      <c r="O90" s="10"/>
      <c r="P90" s="10"/>
      <c r="Q90" s="10"/>
      <c r="R90" s="45">
        <v>50</v>
      </c>
      <c r="S90" s="10"/>
      <c r="T90" s="10"/>
      <c r="U90" s="10"/>
      <c r="V90" s="10"/>
      <c r="W90" s="10"/>
      <c r="X90" s="10"/>
      <c r="Y90" s="10"/>
      <c r="Z90" s="10"/>
      <c r="AA90" s="15">
        <f t="shared" si="2"/>
        <v>100</v>
      </c>
    </row>
    <row r="91" spans="1:27" s="3" customFormat="1" x14ac:dyDescent="0.35">
      <c r="A91" s="1"/>
      <c r="B91" s="6" t="s">
        <v>44</v>
      </c>
      <c r="C91" s="6" t="s">
        <v>44</v>
      </c>
      <c r="D91" s="10" t="s">
        <v>202</v>
      </c>
      <c r="E91" s="10"/>
      <c r="F91" s="29"/>
      <c r="G91" s="10" t="s">
        <v>68</v>
      </c>
      <c r="H91" s="10"/>
      <c r="I91" s="45">
        <v>100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5">
        <f t="shared" si="2"/>
        <v>100</v>
      </c>
    </row>
    <row r="92" spans="1:27" s="3" customFormat="1" x14ac:dyDescent="0.35">
      <c r="A92" s="1"/>
      <c r="B92" s="6" t="s">
        <v>45</v>
      </c>
      <c r="C92" s="6" t="s">
        <v>45</v>
      </c>
      <c r="D92" s="10" t="s">
        <v>203</v>
      </c>
      <c r="E92" s="10"/>
      <c r="F92" s="29"/>
      <c r="G92" s="10" t="s">
        <v>128</v>
      </c>
      <c r="H92" s="10"/>
      <c r="I92" s="45">
        <v>50</v>
      </c>
      <c r="J92" s="10"/>
      <c r="K92" s="10"/>
      <c r="L92" s="10"/>
      <c r="M92" s="10"/>
      <c r="N92" s="10"/>
      <c r="O92" s="45">
        <v>50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5">
        <f t="shared" si="2"/>
        <v>100</v>
      </c>
    </row>
    <row r="93" spans="1:27" s="3" customFormat="1" x14ac:dyDescent="0.35">
      <c r="A93" s="1"/>
      <c r="B93" s="6" t="s">
        <v>46</v>
      </c>
      <c r="C93" s="6" t="s">
        <v>46</v>
      </c>
      <c r="D93" s="10" t="s">
        <v>204</v>
      </c>
      <c r="E93" s="10"/>
      <c r="F93" s="29"/>
      <c r="G93" s="10" t="s">
        <v>129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45">
        <v>100</v>
      </c>
      <c r="U93" s="10"/>
      <c r="V93" s="10"/>
      <c r="W93" s="10"/>
      <c r="X93" s="10"/>
      <c r="Y93" s="10"/>
      <c r="Z93" s="10"/>
      <c r="AA93" s="15">
        <f t="shared" si="2"/>
        <v>100</v>
      </c>
    </row>
    <row r="94" spans="1:27" x14ac:dyDescent="0.35">
      <c r="B94" s="6" t="s">
        <v>47</v>
      </c>
      <c r="C94" s="6" t="s">
        <v>47</v>
      </c>
      <c r="D94" s="10" t="s">
        <v>205</v>
      </c>
      <c r="E94" s="10"/>
      <c r="F94" s="29"/>
      <c r="G94" s="10" t="s">
        <v>68</v>
      </c>
      <c r="H94" s="10"/>
      <c r="I94" s="45">
        <v>100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5">
        <f t="shared" si="2"/>
        <v>100</v>
      </c>
    </row>
    <row r="95" spans="1:27" x14ac:dyDescent="0.35">
      <c r="B95" s="6" t="s">
        <v>48</v>
      </c>
      <c r="C95" s="6" t="s">
        <v>48</v>
      </c>
      <c r="D95" s="10" t="s">
        <v>210</v>
      </c>
      <c r="E95" s="10"/>
      <c r="F95" s="29"/>
      <c r="G95" s="10" t="s">
        <v>68</v>
      </c>
      <c r="H95" s="10"/>
      <c r="I95" s="45">
        <v>100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5">
        <f t="shared" si="2"/>
        <v>100</v>
      </c>
    </row>
    <row r="96" spans="1:27" x14ac:dyDescent="0.35">
      <c r="B96" s="6" t="s">
        <v>49</v>
      </c>
      <c r="C96" s="6" t="s">
        <v>49</v>
      </c>
      <c r="D96" s="10" t="s">
        <v>206</v>
      </c>
      <c r="E96" s="10"/>
      <c r="F96" s="29"/>
      <c r="G96" s="10" t="s">
        <v>54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45">
        <v>100</v>
      </c>
      <c r="T96" s="10"/>
      <c r="U96" s="10"/>
      <c r="V96" s="10"/>
      <c r="W96" s="10"/>
      <c r="X96" s="10"/>
      <c r="Y96" s="10"/>
      <c r="Z96" s="10"/>
      <c r="AA96" s="15">
        <f t="shared" si="2"/>
        <v>100</v>
      </c>
    </row>
    <row r="97" spans="2:27" x14ac:dyDescent="0.35">
      <c r="B97" s="6" t="s">
        <v>50</v>
      </c>
      <c r="C97" s="6" t="s">
        <v>50</v>
      </c>
      <c r="D97" s="10" t="s">
        <v>211</v>
      </c>
      <c r="E97" s="10"/>
      <c r="F97" s="29"/>
      <c r="G97" s="10" t="s">
        <v>68</v>
      </c>
      <c r="H97" s="10"/>
      <c r="I97" s="45">
        <v>100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5">
        <f t="shared" si="2"/>
        <v>100</v>
      </c>
    </row>
    <row r="99" spans="2:27" x14ac:dyDescent="0.35">
      <c r="B99" s="16" t="s">
        <v>232</v>
      </c>
      <c r="C99" s="16" t="s">
        <v>233</v>
      </c>
    </row>
  </sheetData>
  <autoFilter ref="B3:G97" xr:uid="{7040D96E-9A1E-412E-95A2-231D29FA7D11}"/>
  <conditionalFormatting sqref="H4:Z97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9BB2-8E5E-4E05-857E-2E07533A3A88}">
  <dimension ref="A3:I99"/>
  <sheetViews>
    <sheetView topLeftCell="A46" zoomScaleNormal="100" workbookViewId="0">
      <selection activeCell="C47" sqref="C47"/>
    </sheetView>
  </sheetViews>
  <sheetFormatPr defaultColWidth="9.1796875" defaultRowHeight="14.5" x14ac:dyDescent="0.35"/>
  <cols>
    <col min="1" max="1" width="17" style="1" customWidth="1"/>
    <col min="2" max="2" width="29.81640625" style="16" customWidth="1"/>
    <col min="3" max="3" width="43.7265625" style="16" customWidth="1"/>
    <col min="4" max="4" width="34.26953125" style="3" customWidth="1"/>
    <col min="5" max="5" width="70.54296875" style="3" customWidth="1"/>
    <col min="6" max="6" width="40.90625" style="3" customWidth="1"/>
    <col min="7" max="9" width="8.7265625" customWidth="1"/>
    <col min="10" max="16384" width="9.1796875" style="1"/>
  </cols>
  <sheetData>
    <row r="3" spans="2:6" x14ac:dyDescent="0.35">
      <c r="B3" s="16" t="s">
        <v>220</v>
      </c>
      <c r="C3" s="16" t="s">
        <v>231</v>
      </c>
      <c r="D3" s="18" t="s">
        <v>62</v>
      </c>
      <c r="E3" s="18" t="s">
        <v>212</v>
      </c>
      <c r="F3" s="18" t="s">
        <v>136</v>
      </c>
    </row>
    <row r="4" spans="2:6" x14ac:dyDescent="0.35">
      <c r="B4" s="6" t="s">
        <v>0</v>
      </c>
      <c r="C4" s="6" t="s">
        <v>0</v>
      </c>
      <c r="D4" s="10" t="s">
        <v>68</v>
      </c>
      <c r="E4" s="10" t="s">
        <v>144</v>
      </c>
      <c r="F4" s="10"/>
    </row>
    <row r="5" spans="2:6" x14ac:dyDescent="0.35">
      <c r="B5" s="7" t="s">
        <v>1</v>
      </c>
      <c r="C5" s="7" t="s">
        <v>1</v>
      </c>
      <c r="D5" s="10" t="s">
        <v>118</v>
      </c>
      <c r="E5" s="10" t="s">
        <v>145</v>
      </c>
      <c r="F5" s="10"/>
    </row>
    <row r="6" spans="2:6" x14ac:dyDescent="0.35">
      <c r="B6" s="2" t="s">
        <v>2</v>
      </c>
      <c r="C6" s="19" t="s">
        <v>138</v>
      </c>
      <c r="D6" s="4" t="s">
        <v>140</v>
      </c>
      <c r="E6" s="4" t="s">
        <v>207</v>
      </c>
      <c r="F6" s="4"/>
    </row>
    <row r="7" spans="2:6" x14ac:dyDescent="0.35">
      <c r="B7" s="2"/>
      <c r="C7" s="19" t="s">
        <v>139</v>
      </c>
      <c r="D7" s="4" t="s">
        <v>141</v>
      </c>
      <c r="E7" s="4" t="s">
        <v>208</v>
      </c>
      <c r="F7" s="4"/>
    </row>
    <row r="8" spans="2:6" x14ac:dyDescent="0.35">
      <c r="B8" s="2"/>
      <c r="C8" s="19" t="s">
        <v>142</v>
      </c>
      <c r="D8" s="4" t="s">
        <v>131</v>
      </c>
      <c r="E8" s="4" t="s">
        <v>146</v>
      </c>
      <c r="F8" s="4"/>
    </row>
    <row r="9" spans="2:6" x14ac:dyDescent="0.35">
      <c r="B9" s="2"/>
      <c r="C9" s="19" t="s">
        <v>72</v>
      </c>
      <c r="D9" s="4" t="s">
        <v>120</v>
      </c>
      <c r="E9" s="4" t="s">
        <v>147</v>
      </c>
      <c r="F9" s="4"/>
    </row>
    <row r="10" spans="2:6" x14ac:dyDescent="0.35">
      <c r="B10" s="2"/>
      <c r="C10" s="19" t="s">
        <v>73</v>
      </c>
      <c r="D10" s="1" t="s">
        <v>54</v>
      </c>
      <c r="E10" s="1" t="s">
        <v>148</v>
      </c>
      <c r="F10" s="1"/>
    </row>
    <row r="11" spans="2:6" x14ac:dyDescent="0.35">
      <c r="B11" s="2"/>
      <c r="C11" s="19" t="s">
        <v>74</v>
      </c>
      <c r="D11" s="1" t="s">
        <v>54</v>
      </c>
      <c r="E11" s="1" t="s">
        <v>149</v>
      </c>
      <c r="F11" s="1"/>
    </row>
    <row r="12" spans="2:6" x14ac:dyDescent="0.35">
      <c r="B12" s="2"/>
      <c r="C12" s="19" t="s">
        <v>75</v>
      </c>
      <c r="D12" s="1" t="s">
        <v>120</v>
      </c>
      <c r="E12" s="1" t="s">
        <v>150</v>
      </c>
      <c r="F12" s="1"/>
    </row>
    <row r="13" spans="2:6" x14ac:dyDescent="0.35">
      <c r="B13" s="2"/>
      <c r="C13" s="19" t="s">
        <v>76</v>
      </c>
      <c r="D13" s="1" t="s">
        <v>54</v>
      </c>
      <c r="E13" s="1" t="s">
        <v>151</v>
      </c>
      <c r="F13" s="1"/>
    </row>
    <row r="14" spans="2:6" x14ac:dyDescent="0.35">
      <c r="B14" s="2"/>
      <c r="C14" s="19" t="s">
        <v>77</v>
      </c>
      <c r="D14" s="1" t="s">
        <v>54</v>
      </c>
      <c r="E14" s="1" t="s">
        <v>152</v>
      </c>
      <c r="F14" s="1"/>
    </row>
    <row r="15" spans="2:6" x14ac:dyDescent="0.35">
      <c r="B15" s="2"/>
      <c r="C15" s="19" t="s">
        <v>78</v>
      </c>
      <c r="D15" s="1" t="s">
        <v>54</v>
      </c>
      <c r="E15" s="1" t="s">
        <v>153</v>
      </c>
      <c r="F15" s="1"/>
    </row>
    <row r="16" spans="2:6" x14ac:dyDescent="0.35">
      <c r="B16" s="6"/>
      <c r="C16" s="20" t="s">
        <v>107</v>
      </c>
      <c r="D16" s="9" t="s">
        <v>131</v>
      </c>
      <c r="E16" s="9"/>
      <c r="F16" s="9"/>
    </row>
    <row r="17" spans="2:6" x14ac:dyDescent="0.35">
      <c r="B17" s="2" t="s">
        <v>3</v>
      </c>
      <c r="C17" s="19" t="s">
        <v>79</v>
      </c>
      <c r="D17" s="1" t="s">
        <v>52</v>
      </c>
      <c r="E17" s="1" t="s">
        <v>154</v>
      </c>
      <c r="F17" s="1"/>
    </row>
    <row r="18" spans="2:6" x14ac:dyDescent="0.35">
      <c r="B18" s="2"/>
      <c r="C18" s="19" t="s">
        <v>137</v>
      </c>
      <c r="D18" s="1" t="s">
        <v>53</v>
      </c>
      <c r="E18" s="1" t="s">
        <v>155</v>
      </c>
      <c r="F18" s="1"/>
    </row>
    <row r="19" spans="2:6" x14ac:dyDescent="0.35">
      <c r="B19" s="2"/>
      <c r="C19" s="19" t="s">
        <v>80</v>
      </c>
      <c r="D19" s="1" t="s">
        <v>51</v>
      </c>
      <c r="E19" s="1" t="s">
        <v>156</v>
      </c>
      <c r="F19" s="1"/>
    </row>
    <row r="20" spans="2:6" x14ac:dyDescent="0.35">
      <c r="B20" s="2"/>
      <c r="C20" s="19" t="s">
        <v>81</v>
      </c>
      <c r="D20" s="1" t="s">
        <v>132</v>
      </c>
      <c r="E20" s="1" t="s">
        <v>157</v>
      </c>
      <c r="F20" s="1"/>
    </row>
    <row r="21" spans="2:6" x14ac:dyDescent="0.35">
      <c r="B21" s="2"/>
      <c r="C21" s="19" t="s">
        <v>82</v>
      </c>
      <c r="D21" s="1" t="s">
        <v>54</v>
      </c>
      <c r="E21" s="1" t="s">
        <v>158</v>
      </c>
      <c r="F21" s="1"/>
    </row>
    <row r="22" spans="2:6" x14ac:dyDescent="0.35">
      <c r="B22" s="2"/>
      <c r="C22" s="19" t="s">
        <v>83</v>
      </c>
      <c r="D22" s="1" t="s">
        <v>133</v>
      </c>
      <c r="E22" s="1" t="s">
        <v>159</v>
      </c>
      <c r="F22" s="1"/>
    </row>
    <row r="23" spans="2:6" x14ac:dyDescent="0.35">
      <c r="B23" s="2"/>
      <c r="C23" s="19" t="s">
        <v>84</v>
      </c>
      <c r="D23" s="1" t="s">
        <v>53</v>
      </c>
      <c r="E23" s="1" t="s">
        <v>160</v>
      </c>
      <c r="F23" s="1"/>
    </row>
    <row r="24" spans="2:6" x14ac:dyDescent="0.35">
      <c r="B24" s="6"/>
      <c r="C24" s="20" t="s">
        <v>130</v>
      </c>
      <c r="D24" s="9" t="s">
        <v>117</v>
      </c>
      <c r="E24" s="9" t="s">
        <v>161</v>
      </c>
      <c r="F24" s="9"/>
    </row>
    <row r="25" spans="2:6" x14ac:dyDescent="0.35">
      <c r="B25" s="2" t="s">
        <v>4</v>
      </c>
      <c r="C25" s="19" t="s">
        <v>85</v>
      </c>
      <c r="D25" s="1" t="s">
        <v>55</v>
      </c>
      <c r="E25" s="1" t="s">
        <v>162</v>
      </c>
      <c r="F25" s="1"/>
    </row>
    <row r="26" spans="2:6" x14ac:dyDescent="0.35">
      <c r="B26" s="2"/>
      <c r="C26" s="19" t="s">
        <v>86</v>
      </c>
      <c r="D26" s="1" t="s">
        <v>143</v>
      </c>
      <c r="E26" s="1" t="s">
        <v>163</v>
      </c>
      <c r="F26" s="1"/>
    </row>
    <row r="27" spans="2:6" x14ac:dyDescent="0.35">
      <c r="B27" s="2"/>
      <c r="C27" s="19" t="s">
        <v>87</v>
      </c>
      <c r="D27" s="4" t="s">
        <v>140</v>
      </c>
      <c r="E27" s="4"/>
      <c r="F27" s="4"/>
    </row>
    <row r="28" spans="2:6" x14ac:dyDescent="0.35">
      <c r="B28" s="2"/>
      <c r="C28" s="19" t="s">
        <v>88</v>
      </c>
      <c r="D28" s="1" t="s">
        <v>134</v>
      </c>
      <c r="E28" s="1" t="s">
        <v>164</v>
      </c>
      <c r="F28" s="1"/>
    </row>
    <row r="29" spans="2:6" x14ac:dyDescent="0.35">
      <c r="B29" s="2"/>
      <c r="C29" s="19" t="s">
        <v>89</v>
      </c>
      <c r="D29" s="1" t="s">
        <v>56</v>
      </c>
      <c r="E29" s="1" t="s">
        <v>209</v>
      </c>
      <c r="F29" s="1"/>
    </row>
    <row r="30" spans="2:6" x14ac:dyDescent="0.35">
      <c r="B30" s="6"/>
      <c r="C30" s="20" t="s">
        <v>108</v>
      </c>
      <c r="D30" s="8" t="s">
        <v>117</v>
      </c>
      <c r="E30" s="8"/>
      <c r="F30" s="8"/>
    </row>
    <row r="31" spans="2:6" x14ac:dyDescent="0.35">
      <c r="B31" s="22" t="s">
        <v>5</v>
      </c>
      <c r="C31" s="23" t="s">
        <v>109</v>
      </c>
      <c r="D31" s="24" t="s">
        <v>119</v>
      </c>
      <c r="E31" s="24" t="s">
        <v>165</v>
      </c>
      <c r="F31" s="24"/>
    </row>
    <row r="32" spans="2:6" x14ac:dyDescent="0.35">
      <c r="B32" s="6"/>
      <c r="C32" s="20" t="s">
        <v>222</v>
      </c>
      <c r="D32" s="8" t="s">
        <v>117</v>
      </c>
      <c r="E32" s="8"/>
      <c r="F32" s="8"/>
    </row>
    <row r="33" spans="1:6" x14ac:dyDescent="0.35">
      <c r="B33" s="2" t="s">
        <v>6</v>
      </c>
      <c r="C33" s="19" t="s">
        <v>90</v>
      </c>
      <c r="D33" s="1" t="s">
        <v>60</v>
      </c>
      <c r="E33" s="1" t="s">
        <v>166</v>
      </c>
      <c r="F33" s="1"/>
    </row>
    <row r="34" spans="1:6" x14ac:dyDescent="0.35">
      <c r="B34" s="2"/>
      <c r="C34" s="19" t="s">
        <v>91</v>
      </c>
      <c r="D34" s="1" t="s">
        <v>58</v>
      </c>
      <c r="E34" s="1" t="s">
        <v>167</v>
      </c>
      <c r="F34" s="1"/>
    </row>
    <row r="35" spans="1:6" x14ac:dyDescent="0.35">
      <c r="B35" s="2"/>
      <c r="C35" s="19" t="s">
        <v>92</v>
      </c>
      <c r="D35" s="1" t="s">
        <v>59</v>
      </c>
      <c r="E35" s="1" t="s">
        <v>213</v>
      </c>
      <c r="F35" s="1"/>
    </row>
    <row r="36" spans="1:6" x14ac:dyDescent="0.35">
      <c r="B36" s="13"/>
      <c r="C36" s="21" t="s">
        <v>93</v>
      </c>
      <c r="D36" s="14" t="s">
        <v>61</v>
      </c>
      <c r="E36" s="14" t="s">
        <v>214</v>
      </c>
      <c r="F36" s="14"/>
    </row>
    <row r="37" spans="1:6" x14ac:dyDescent="0.35">
      <c r="B37" s="6"/>
      <c r="C37" s="20" t="s">
        <v>230</v>
      </c>
      <c r="D37" s="8" t="s">
        <v>117</v>
      </c>
      <c r="E37" s="8"/>
      <c r="F37" s="8"/>
    </row>
    <row r="38" spans="1:6" x14ac:dyDescent="0.35">
      <c r="B38" s="7" t="s">
        <v>7</v>
      </c>
      <c r="C38" s="7" t="s">
        <v>7</v>
      </c>
      <c r="D38" s="11" t="s">
        <v>118</v>
      </c>
      <c r="E38" s="11" t="s">
        <v>168</v>
      </c>
      <c r="F38" s="11"/>
    </row>
    <row r="39" spans="1:6" x14ac:dyDescent="0.35">
      <c r="B39" s="22" t="s">
        <v>8</v>
      </c>
      <c r="C39" s="23" t="s">
        <v>110</v>
      </c>
      <c r="D39" s="24" t="s">
        <v>54</v>
      </c>
      <c r="E39" s="24"/>
      <c r="F39" s="24"/>
    </row>
    <row r="40" spans="1:6" x14ac:dyDescent="0.35">
      <c r="B40" s="6"/>
      <c r="C40" s="20" t="s">
        <v>223</v>
      </c>
      <c r="D40" s="8" t="s">
        <v>54</v>
      </c>
      <c r="E40" s="8"/>
      <c r="F40" s="8"/>
    </row>
    <row r="41" spans="1:6" x14ac:dyDescent="0.35">
      <c r="B41" s="6" t="s">
        <v>9</v>
      </c>
      <c r="C41" s="6" t="s">
        <v>9</v>
      </c>
      <c r="D41" s="10" t="s">
        <v>54</v>
      </c>
      <c r="E41" s="10" t="s">
        <v>169</v>
      </c>
      <c r="F41" s="10"/>
    </row>
    <row r="42" spans="1:6" x14ac:dyDescent="0.35">
      <c r="B42" s="6" t="s">
        <v>10</v>
      </c>
      <c r="C42" s="6" t="s">
        <v>10</v>
      </c>
      <c r="D42" s="10" t="s">
        <v>54</v>
      </c>
      <c r="E42" s="10" t="s">
        <v>170</v>
      </c>
      <c r="F42" s="10"/>
    </row>
    <row r="43" spans="1:6" x14ac:dyDescent="0.35">
      <c r="B43" s="6" t="s">
        <v>11</v>
      </c>
      <c r="C43" s="6" t="s">
        <v>11</v>
      </c>
      <c r="D43" s="10" t="s">
        <v>120</v>
      </c>
      <c r="E43" s="10" t="s">
        <v>171</v>
      </c>
      <c r="F43" s="10"/>
    </row>
    <row r="44" spans="1:6" x14ac:dyDescent="0.35">
      <c r="B44" s="6" t="s">
        <v>12</v>
      </c>
      <c r="C44" s="6" t="s">
        <v>12</v>
      </c>
      <c r="D44" s="10" t="s">
        <v>54</v>
      </c>
      <c r="E44" s="10" t="s">
        <v>172</v>
      </c>
      <c r="F44" s="10"/>
    </row>
    <row r="45" spans="1:6" x14ac:dyDescent="0.35">
      <c r="B45" s="6" t="s">
        <v>13</v>
      </c>
      <c r="C45" s="6" t="s">
        <v>13</v>
      </c>
      <c r="D45" s="10" t="s">
        <v>54</v>
      </c>
      <c r="E45" s="10" t="s">
        <v>173</v>
      </c>
      <c r="F45" s="10"/>
    </row>
    <row r="46" spans="1:6" x14ac:dyDescent="0.35">
      <c r="B46" s="6" t="s">
        <v>14</v>
      </c>
      <c r="C46" s="6" t="s">
        <v>14</v>
      </c>
      <c r="D46" s="10" t="s">
        <v>54</v>
      </c>
      <c r="E46" s="10" t="s">
        <v>174</v>
      </c>
      <c r="F46" s="10"/>
    </row>
    <row r="47" spans="1:6" s="3" customFormat="1" x14ac:dyDescent="0.35">
      <c r="A47" s="1"/>
      <c r="B47" s="6" t="s">
        <v>15</v>
      </c>
      <c r="C47" s="6" t="s">
        <v>15</v>
      </c>
      <c r="D47" s="10" t="s">
        <v>54</v>
      </c>
      <c r="E47" s="10" t="s">
        <v>175</v>
      </c>
      <c r="F47" s="10"/>
    </row>
    <row r="48" spans="1:6" s="3" customFormat="1" x14ac:dyDescent="0.35">
      <c r="A48" s="1"/>
      <c r="B48" s="7" t="s">
        <v>16</v>
      </c>
      <c r="C48" s="7" t="s">
        <v>16</v>
      </c>
      <c r="D48" s="12" t="s">
        <v>54</v>
      </c>
      <c r="E48" s="12" t="s">
        <v>176</v>
      </c>
      <c r="F48" s="12"/>
    </row>
    <row r="49" spans="1:6" s="3" customFormat="1" x14ac:dyDescent="0.35">
      <c r="A49" s="1"/>
      <c r="B49" s="6" t="s">
        <v>17</v>
      </c>
      <c r="C49" s="13" t="s">
        <v>17</v>
      </c>
      <c r="D49" s="10" t="s">
        <v>54</v>
      </c>
      <c r="E49" s="10" t="s">
        <v>177</v>
      </c>
      <c r="F49" s="10"/>
    </row>
    <row r="50" spans="1:6" x14ac:dyDescent="0.35">
      <c r="B50" s="22" t="s">
        <v>18</v>
      </c>
      <c r="C50" s="21" t="s">
        <v>111</v>
      </c>
      <c r="D50" s="24" t="s">
        <v>68</v>
      </c>
      <c r="E50" s="24"/>
      <c r="F50" s="24"/>
    </row>
    <row r="51" spans="1:6" s="3" customFormat="1" x14ac:dyDescent="0.35">
      <c r="A51" s="1"/>
      <c r="B51" s="6"/>
      <c r="C51" s="21" t="s">
        <v>224</v>
      </c>
      <c r="D51" s="10" t="s">
        <v>68</v>
      </c>
      <c r="E51" s="10"/>
      <c r="F51" s="10"/>
    </row>
    <row r="52" spans="1:6" x14ac:dyDescent="0.35">
      <c r="B52" s="22" t="s">
        <v>19</v>
      </c>
      <c r="C52" s="23" t="s">
        <v>112</v>
      </c>
      <c r="D52" s="24" t="s">
        <v>54</v>
      </c>
      <c r="E52" s="24"/>
      <c r="F52" s="24"/>
    </row>
    <row r="53" spans="1:6" s="3" customFormat="1" x14ac:dyDescent="0.35">
      <c r="A53" s="1"/>
      <c r="B53" s="6"/>
      <c r="C53" s="25" t="s">
        <v>225</v>
      </c>
      <c r="D53" s="10" t="s">
        <v>54</v>
      </c>
      <c r="E53" s="10"/>
      <c r="F53" s="10"/>
    </row>
    <row r="54" spans="1:6" s="3" customFormat="1" x14ac:dyDescent="0.35">
      <c r="A54" s="1"/>
      <c r="B54" s="6" t="s">
        <v>20</v>
      </c>
      <c r="C54" s="6" t="s">
        <v>20</v>
      </c>
      <c r="D54" s="10" t="s">
        <v>121</v>
      </c>
      <c r="E54" s="10" t="s">
        <v>178</v>
      </c>
      <c r="F54" s="10"/>
    </row>
    <row r="55" spans="1:6" s="3" customFormat="1" x14ac:dyDescent="0.35">
      <c r="A55" s="1"/>
      <c r="B55" s="7" t="s">
        <v>21</v>
      </c>
      <c r="C55" s="7" t="s">
        <v>21</v>
      </c>
      <c r="D55" s="12" t="s">
        <v>123</v>
      </c>
      <c r="E55" s="12" t="s">
        <v>179</v>
      </c>
      <c r="F55" s="12"/>
    </row>
    <row r="56" spans="1:6" s="15" customFormat="1" x14ac:dyDescent="0.35">
      <c r="A56" s="14"/>
      <c r="B56" s="13" t="s">
        <v>22</v>
      </c>
      <c r="C56" s="21" t="s">
        <v>113</v>
      </c>
      <c r="D56" s="15" t="s">
        <v>68</v>
      </c>
      <c r="E56" s="15" t="s">
        <v>180</v>
      </c>
    </row>
    <row r="57" spans="1:6" s="3" customFormat="1" x14ac:dyDescent="0.35">
      <c r="A57" s="1"/>
      <c r="B57" s="6"/>
      <c r="C57" s="20" t="s">
        <v>226</v>
      </c>
      <c r="D57" s="10"/>
      <c r="E57" s="10"/>
      <c r="F57" s="10"/>
    </row>
    <row r="58" spans="1:6" s="3" customFormat="1" x14ac:dyDescent="0.35">
      <c r="A58" s="1"/>
      <c r="B58" s="6" t="s">
        <v>23</v>
      </c>
      <c r="C58" s="6" t="s">
        <v>23</v>
      </c>
      <c r="D58" s="10" t="s">
        <v>131</v>
      </c>
      <c r="E58" s="10" t="s">
        <v>181</v>
      </c>
      <c r="F58" s="10"/>
    </row>
    <row r="59" spans="1:6" s="3" customFormat="1" x14ac:dyDescent="0.35">
      <c r="A59" s="1"/>
      <c r="B59" s="2" t="s">
        <v>24</v>
      </c>
      <c r="C59" s="19" t="s">
        <v>94</v>
      </c>
      <c r="D59" s="1" t="s">
        <v>67</v>
      </c>
      <c r="E59" s="1" t="s">
        <v>215</v>
      </c>
      <c r="F59" s="1"/>
    </row>
    <row r="60" spans="1:6" s="3" customFormat="1" x14ac:dyDescent="0.35">
      <c r="A60" s="1"/>
      <c r="B60" s="2"/>
      <c r="C60" s="19" t="s">
        <v>95</v>
      </c>
      <c r="D60" s="1" t="s">
        <v>66</v>
      </c>
      <c r="E60" s="1" t="s">
        <v>216</v>
      </c>
      <c r="F60" s="1"/>
    </row>
    <row r="61" spans="1:6" s="3" customFormat="1" x14ac:dyDescent="0.35">
      <c r="A61" s="1"/>
      <c r="B61" s="2"/>
      <c r="C61" s="19" t="s">
        <v>96</v>
      </c>
      <c r="D61" s="1" t="s">
        <v>68</v>
      </c>
      <c r="E61" s="1" t="s">
        <v>217</v>
      </c>
      <c r="F61" s="1" t="s">
        <v>69</v>
      </c>
    </row>
    <row r="62" spans="1:6" s="3" customFormat="1" x14ac:dyDescent="0.35">
      <c r="A62" s="1"/>
      <c r="B62" s="2"/>
      <c r="C62" s="19" t="s">
        <v>97</v>
      </c>
      <c r="D62" s="1" t="s">
        <v>135</v>
      </c>
      <c r="E62" s="1" t="s">
        <v>182</v>
      </c>
      <c r="F62" s="1" t="s">
        <v>63</v>
      </c>
    </row>
    <row r="63" spans="1:6" s="3" customFormat="1" x14ac:dyDescent="0.35">
      <c r="A63" s="1"/>
      <c r="B63" s="2"/>
      <c r="C63" s="19" t="s">
        <v>98</v>
      </c>
      <c r="D63" s="1" t="s">
        <v>221</v>
      </c>
      <c r="E63" s="1" t="s">
        <v>218</v>
      </c>
      <c r="F63" s="1" t="s">
        <v>64</v>
      </c>
    </row>
    <row r="64" spans="1:6" s="3" customFormat="1" x14ac:dyDescent="0.35">
      <c r="A64" s="1"/>
      <c r="B64" s="2"/>
      <c r="C64" s="19" t="s">
        <v>99</v>
      </c>
      <c r="D64" s="1" t="s">
        <v>59</v>
      </c>
      <c r="E64" s="1" t="s">
        <v>219</v>
      </c>
      <c r="F64" s="1" t="s">
        <v>65</v>
      </c>
    </row>
    <row r="65" spans="1:6" s="3" customFormat="1" x14ac:dyDescent="0.35">
      <c r="A65" s="1"/>
      <c r="B65" s="6"/>
      <c r="C65" s="20" t="s">
        <v>100</v>
      </c>
      <c r="D65" s="8" t="s">
        <v>131</v>
      </c>
      <c r="E65" s="8"/>
      <c r="F65" s="8" t="s">
        <v>57</v>
      </c>
    </row>
    <row r="66" spans="1:6" s="15" customFormat="1" x14ac:dyDescent="0.35">
      <c r="A66" s="14"/>
      <c r="B66" s="13" t="s">
        <v>25</v>
      </c>
      <c r="C66" s="21" t="s">
        <v>114</v>
      </c>
      <c r="D66" s="14" t="s">
        <v>68</v>
      </c>
      <c r="E66" s="14"/>
      <c r="F66" s="14"/>
    </row>
    <row r="67" spans="1:6" s="3" customFormat="1" x14ac:dyDescent="0.35">
      <c r="A67" s="1"/>
      <c r="B67" s="6"/>
      <c r="C67" s="20" t="s">
        <v>228</v>
      </c>
      <c r="D67" s="10" t="s">
        <v>68</v>
      </c>
      <c r="E67" s="10"/>
      <c r="F67" s="10"/>
    </row>
    <row r="68" spans="1:6" s="15" customFormat="1" x14ac:dyDescent="0.35">
      <c r="A68" s="14"/>
      <c r="B68" s="13" t="s">
        <v>26</v>
      </c>
      <c r="C68" s="21" t="s">
        <v>115</v>
      </c>
      <c r="D68" s="15" t="s">
        <v>54</v>
      </c>
    </row>
    <row r="69" spans="1:6" s="3" customFormat="1" x14ac:dyDescent="0.35">
      <c r="A69" s="1"/>
      <c r="B69" s="6"/>
      <c r="C69" s="20" t="s">
        <v>227</v>
      </c>
      <c r="D69" s="10"/>
      <c r="E69" s="10"/>
      <c r="F69" s="10"/>
    </row>
    <row r="70" spans="1:6" s="3" customFormat="1" x14ac:dyDescent="0.35">
      <c r="A70" s="1"/>
      <c r="B70" s="13" t="s">
        <v>27</v>
      </c>
      <c r="C70" s="21" t="s">
        <v>101</v>
      </c>
      <c r="D70" s="15" t="s">
        <v>122</v>
      </c>
      <c r="E70" s="15" t="s">
        <v>183</v>
      </c>
      <c r="F70" s="15"/>
    </row>
    <row r="71" spans="1:6" s="3" customFormat="1" x14ac:dyDescent="0.35">
      <c r="A71" s="1"/>
      <c r="B71" s="6"/>
      <c r="C71" s="20" t="s">
        <v>102</v>
      </c>
      <c r="D71" s="10" t="s">
        <v>122</v>
      </c>
      <c r="E71" s="10" t="s">
        <v>184</v>
      </c>
      <c r="F71" s="10"/>
    </row>
    <row r="72" spans="1:6" s="15" customFormat="1" x14ac:dyDescent="0.35">
      <c r="A72" s="14"/>
      <c r="B72" s="13" t="s">
        <v>28</v>
      </c>
      <c r="C72" s="21" t="s">
        <v>116</v>
      </c>
      <c r="D72" s="15" t="s">
        <v>120</v>
      </c>
      <c r="E72" s="15" t="s">
        <v>185</v>
      </c>
    </row>
    <row r="73" spans="1:6" s="3" customFormat="1" x14ac:dyDescent="0.35">
      <c r="A73" s="1"/>
      <c r="B73" s="6"/>
      <c r="C73" s="20" t="s">
        <v>229</v>
      </c>
      <c r="D73" s="10"/>
      <c r="E73" s="10"/>
      <c r="F73" s="10"/>
    </row>
    <row r="74" spans="1:6" s="3" customFormat="1" x14ac:dyDescent="0.35">
      <c r="A74" s="1"/>
      <c r="B74" s="6" t="s">
        <v>29</v>
      </c>
      <c r="C74" s="6" t="s">
        <v>29</v>
      </c>
      <c r="D74" s="10" t="s">
        <v>122</v>
      </c>
      <c r="E74" s="10" t="s">
        <v>186</v>
      </c>
      <c r="F74" s="10"/>
    </row>
    <row r="75" spans="1:6" s="3" customFormat="1" x14ac:dyDescent="0.35">
      <c r="A75" s="1"/>
      <c r="B75" s="6" t="s">
        <v>30</v>
      </c>
      <c r="C75" s="6" t="s">
        <v>30</v>
      </c>
      <c r="D75" s="10" t="s">
        <v>124</v>
      </c>
      <c r="E75" s="10"/>
      <c r="F75" s="10"/>
    </row>
    <row r="76" spans="1:6" s="3" customFormat="1" x14ac:dyDescent="0.35">
      <c r="A76" s="1"/>
      <c r="B76" s="5" t="s">
        <v>31</v>
      </c>
      <c r="C76" s="19" t="s">
        <v>103</v>
      </c>
      <c r="D76" s="3" t="s">
        <v>122</v>
      </c>
      <c r="E76" s="3" t="s">
        <v>187</v>
      </c>
      <c r="F76" s="3" t="s">
        <v>70</v>
      </c>
    </row>
    <row r="77" spans="1:6" s="3" customFormat="1" x14ac:dyDescent="0.35">
      <c r="A77" s="1"/>
      <c r="B77" s="17"/>
      <c r="C77" s="20" t="s">
        <v>104</v>
      </c>
      <c r="D77" s="10" t="s">
        <v>120</v>
      </c>
      <c r="E77" s="10" t="s">
        <v>188</v>
      </c>
      <c r="F77" s="10" t="s">
        <v>71</v>
      </c>
    </row>
    <row r="78" spans="1:6" s="3" customFormat="1" x14ac:dyDescent="0.35">
      <c r="A78" s="1"/>
      <c r="B78" s="2" t="s">
        <v>32</v>
      </c>
      <c r="C78" s="19" t="s">
        <v>105</v>
      </c>
      <c r="D78" s="3" t="s">
        <v>125</v>
      </c>
      <c r="E78" s="3" t="s">
        <v>189</v>
      </c>
    </row>
    <row r="79" spans="1:6" s="3" customFormat="1" x14ac:dyDescent="0.35">
      <c r="A79" s="1"/>
      <c r="B79" s="6"/>
      <c r="C79" s="20" t="s">
        <v>106</v>
      </c>
      <c r="D79" s="10" t="s">
        <v>125</v>
      </c>
      <c r="E79" s="10" t="s">
        <v>190</v>
      </c>
      <c r="F79" s="10"/>
    </row>
    <row r="80" spans="1:6" s="3" customFormat="1" x14ac:dyDescent="0.35">
      <c r="A80" s="1"/>
      <c r="B80" s="6" t="s">
        <v>33</v>
      </c>
      <c r="C80" s="6" t="s">
        <v>33</v>
      </c>
      <c r="D80" s="10" t="s">
        <v>131</v>
      </c>
      <c r="E80" s="10" t="s">
        <v>191</v>
      </c>
      <c r="F80" s="10"/>
    </row>
    <row r="81" spans="1:6" s="3" customFormat="1" x14ac:dyDescent="0.35">
      <c r="A81" s="1"/>
      <c r="B81" s="6" t="s">
        <v>34</v>
      </c>
      <c r="C81" s="6" t="s">
        <v>34</v>
      </c>
      <c r="D81" s="10" t="s">
        <v>125</v>
      </c>
      <c r="E81" s="10" t="s">
        <v>192</v>
      </c>
      <c r="F81" s="10"/>
    </row>
    <row r="82" spans="1:6" s="3" customFormat="1" x14ac:dyDescent="0.35">
      <c r="A82" s="1"/>
      <c r="B82" s="6" t="s">
        <v>35</v>
      </c>
      <c r="C82" s="6" t="s">
        <v>35</v>
      </c>
      <c r="D82" s="10" t="s">
        <v>54</v>
      </c>
      <c r="E82" s="10" t="s">
        <v>193</v>
      </c>
      <c r="F82" s="10"/>
    </row>
    <row r="83" spans="1:6" s="3" customFormat="1" x14ac:dyDescent="0.35">
      <c r="A83" s="1"/>
      <c r="B83" s="6" t="s">
        <v>36</v>
      </c>
      <c r="C83" s="6" t="s">
        <v>36</v>
      </c>
      <c r="D83" s="10" t="s">
        <v>54</v>
      </c>
      <c r="E83" s="10" t="s">
        <v>194</v>
      </c>
      <c r="F83" s="10"/>
    </row>
    <row r="84" spans="1:6" s="3" customFormat="1" x14ac:dyDescent="0.35">
      <c r="A84" s="1"/>
      <c r="B84" s="6" t="s">
        <v>37</v>
      </c>
      <c r="C84" s="6" t="s">
        <v>37</v>
      </c>
      <c r="D84" s="10" t="s">
        <v>54</v>
      </c>
      <c r="E84" s="10" t="s">
        <v>195</v>
      </c>
      <c r="F84" s="10"/>
    </row>
    <row r="85" spans="1:6" s="3" customFormat="1" x14ac:dyDescent="0.35">
      <c r="A85" s="1"/>
      <c r="B85" s="6" t="s">
        <v>38</v>
      </c>
      <c r="C85" s="6" t="s">
        <v>38</v>
      </c>
      <c r="D85" s="10" t="s">
        <v>122</v>
      </c>
      <c r="E85" s="10" t="s">
        <v>196</v>
      </c>
      <c r="F85" s="10"/>
    </row>
    <row r="86" spans="1:6" s="3" customFormat="1" x14ac:dyDescent="0.35">
      <c r="A86" s="1"/>
      <c r="B86" s="6" t="s">
        <v>39</v>
      </c>
      <c r="C86" s="6" t="s">
        <v>39</v>
      </c>
      <c r="D86" s="10" t="s">
        <v>126</v>
      </c>
      <c r="E86" s="10" t="s">
        <v>197</v>
      </c>
      <c r="F86" s="10"/>
    </row>
    <row r="87" spans="1:6" s="3" customFormat="1" x14ac:dyDescent="0.35">
      <c r="A87" s="1"/>
      <c r="B87" s="6" t="s">
        <v>40</v>
      </c>
      <c r="C87" s="6" t="s">
        <v>40</v>
      </c>
      <c r="D87" s="10" t="s">
        <v>122</v>
      </c>
      <c r="E87" s="10" t="s">
        <v>198</v>
      </c>
      <c r="F87" s="10"/>
    </row>
    <row r="88" spans="1:6" s="3" customFormat="1" x14ac:dyDescent="0.35">
      <c r="A88" s="1"/>
      <c r="B88" s="6" t="s">
        <v>41</v>
      </c>
      <c r="C88" s="6" t="s">
        <v>41</v>
      </c>
      <c r="D88" s="10" t="s">
        <v>120</v>
      </c>
      <c r="E88" s="10" t="s">
        <v>199</v>
      </c>
      <c r="F88" s="10"/>
    </row>
    <row r="89" spans="1:6" s="3" customFormat="1" x14ac:dyDescent="0.35">
      <c r="A89" s="1"/>
      <c r="B89" s="6" t="s">
        <v>42</v>
      </c>
      <c r="C89" s="6" t="s">
        <v>42</v>
      </c>
      <c r="D89" s="10" t="s">
        <v>127</v>
      </c>
      <c r="E89" s="10" t="s">
        <v>200</v>
      </c>
      <c r="F89" s="10"/>
    </row>
    <row r="90" spans="1:6" s="3" customFormat="1" x14ac:dyDescent="0.35">
      <c r="A90" s="1"/>
      <c r="B90" s="6" t="s">
        <v>43</v>
      </c>
      <c r="C90" s="6" t="s">
        <v>43</v>
      </c>
      <c r="D90" s="10" t="s">
        <v>126</v>
      </c>
      <c r="E90" s="10" t="s">
        <v>201</v>
      </c>
      <c r="F90" s="10"/>
    </row>
    <row r="91" spans="1:6" s="3" customFormat="1" x14ac:dyDescent="0.35">
      <c r="A91" s="1"/>
      <c r="B91" s="6" t="s">
        <v>44</v>
      </c>
      <c r="C91" s="6" t="s">
        <v>44</v>
      </c>
      <c r="D91" s="10" t="s">
        <v>68</v>
      </c>
      <c r="E91" s="10" t="s">
        <v>202</v>
      </c>
      <c r="F91" s="10"/>
    </row>
    <row r="92" spans="1:6" s="3" customFormat="1" x14ac:dyDescent="0.35">
      <c r="A92" s="1"/>
      <c r="B92" s="6" t="s">
        <v>45</v>
      </c>
      <c r="C92" s="6" t="s">
        <v>45</v>
      </c>
      <c r="D92" s="10" t="s">
        <v>128</v>
      </c>
      <c r="E92" s="10" t="s">
        <v>203</v>
      </c>
      <c r="F92" s="10"/>
    </row>
    <row r="93" spans="1:6" s="3" customFormat="1" x14ac:dyDescent="0.35">
      <c r="A93" s="1"/>
      <c r="B93" s="6" t="s">
        <v>46</v>
      </c>
      <c r="C93" s="6" t="s">
        <v>46</v>
      </c>
      <c r="D93" s="10" t="s">
        <v>129</v>
      </c>
      <c r="E93" s="10" t="s">
        <v>204</v>
      </c>
      <c r="F93" s="10"/>
    </row>
    <row r="94" spans="1:6" x14ac:dyDescent="0.35">
      <c r="B94" s="6" t="s">
        <v>47</v>
      </c>
      <c r="C94" s="6" t="s">
        <v>47</v>
      </c>
      <c r="D94" s="10" t="s">
        <v>68</v>
      </c>
      <c r="E94" s="10" t="s">
        <v>205</v>
      </c>
      <c r="F94" s="10"/>
    </row>
    <row r="95" spans="1:6" x14ac:dyDescent="0.35">
      <c r="B95" s="6" t="s">
        <v>48</v>
      </c>
      <c r="C95" s="6" t="s">
        <v>48</v>
      </c>
      <c r="D95" s="10" t="s">
        <v>68</v>
      </c>
      <c r="E95" s="10" t="s">
        <v>210</v>
      </c>
      <c r="F95" s="10"/>
    </row>
    <row r="96" spans="1:6" x14ac:dyDescent="0.35">
      <c r="B96" s="6" t="s">
        <v>49</v>
      </c>
      <c r="C96" s="6" t="s">
        <v>49</v>
      </c>
      <c r="D96" s="10" t="s">
        <v>54</v>
      </c>
      <c r="E96" s="10" t="s">
        <v>206</v>
      </c>
      <c r="F96" s="10"/>
    </row>
    <row r="97" spans="2:6" x14ac:dyDescent="0.35">
      <c r="B97" s="6" t="s">
        <v>50</v>
      </c>
      <c r="C97" s="6" t="s">
        <v>50</v>
      </c>
      <c r="D97" s="10" t="s">
        <v>68</v>
      </c>
      <c r="E97" s="10" t="s">
        <v>211</v>
      </c>
      <c r="F97" s="10"/>
    </row>
    <row r="99" spans="2:6" x14ac:dyDescent="0.35">
      <c r="B99" s="16" t="s">
        <v>232</v>
      </c>
      <c r="C99" s="16" t="s">
        <v>233</v>
      </c>
    </row>
  </sheetData>
  <autoFilter ref="A3:E97" xr:uid="{792A9BB2-8E5E-4E05-857E-2E07533A3A88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taxa full</vt:lpstr>
      <vt:lpstr>list of taxa tmp</vt:lpstr>
      <vt:lpstr>list of taxa 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Mathieu</dc:creator>
  <cp:lastModifiedBy>Jerome Mathieu</cp:lastModifiedBy>
  <dcterms:created xsi:type="dcterms:W3CDTF">2026-02-25T17:30:30Z</dcterms:created>
  <dcterms:modified xsi:type="dcterms:W3CDTF">2026-03-02T16:34:07Z</dcterms:modified>
</cp:coreProperties>
</file>